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Historias de Usuario" sheetId="1" state="visible" r:id="rId3"/>
    <sheet name="Plan de sprints" sheetId="2" state="visible" r:id="rId4"/>
    <sheet name="Tareas (Sprint Backlog)" sheetId="3" state="visible" r:id="rId5"/>
    <sheet name="DoR y DoD" sheetId="4" state="visible" r:id="rId6"/>
    <sheet name="Criterios de aceptación" sheetId="5" state="visible" r:id="rId7"/>
    <sheet name="Reglas MinEdu" sheetId="6" state="visible" r:id="rId8"/>
    <sheet name="Hallazgos" sheetId="7" state="visible" r:id="rId9"/>
    <sheet name="Instructivo" sheetId="8" state="visible" r:id="rId10"/>
  </sheets>
  <definedNames>
    <definedName function="false" hidden="true" localSheetId="2" name="_xlnm._FilterDatabase" vbProcedure="false">'Tareas (Sprint Backlog)'!$A$4:$J$73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<sst xmlns="http://schemas.openxmlformats.org/spreadsheetml/2006/main" count="1260" uniqueCount="574">
  <si>
    <t xml:space="preserve">Desarrollo ágil: Pila de Producto (Product Backlog)</t>
  </si>
  <si>
    <t xml:space="preserve">Identificador (ID) de la Historia</t>
  </si>
  <si>
    <t xml:space="preserve">Enunciado de la Historia</t>
  </si>
  <si>
    <t xml:space="preserve">Alias</t>
  </si>
  <si>
    <t xml:space="preserve">Estado</t>
  </si>
  <si>
    <t xml:space="preserve">Puntos Valor</t>
  </si>
  <si>
    <t xml:space="preserve">Puntos Historia</t>
  </si>
  <si>
    <t xml:space="preserve">ROI</t>
  </si>
  <si>
    <t xml:space="preserve">Iteración (Sprint)</t>
  </si>
  <si>
    <t xml:space="preserve">Prioridad</t>
  </si>
  <si>
    <t xml:space="preserve">Comentarios</t>
  </si>
  <si>
    <t xml:space="preserve">US-17</t>
  </si>
  <si>
    <t xml:space="preserve">Como usuario del sistema (profesor, secretaria, padre de familia o administrador), quiero iniciar sesión con mi cuenta y ver solo las opciones de mi rol, para que nadie más pueda ver o modificar las notas que me corresponden.</t>
  </si>
  <si>
    <t xml:space="preserve">Autenticación y Roles</t>
  </si>
  <si>
    <t xml:space="preserve">En proceso</t>
  </si>
  <si>
    <t xml:space="preserve">Sprint 1</t>
  </si>
  <si>
    <t xml:space="preserve">ALTA</t>
  </si>
  <si>
    <t xml:space="preserve">NUEVA (propuesta del análisis; requiere aprobación del docente). Base de todas las historias: sin ella no se cumple RNF-04 (solo el docente de la materia modifica notas) ni la métrica M09.</t>
  </si>
  <si>
    <t xml:space="preserve">US-18</t>
  </si>
  <si>
    <t xml:space="preserve">Como secretaria, quiero registrar la gestión, sus trimestres, los cursos, las materias y los estudiantes, y asignar cada materia a su profesor, para que cada profesor trabaje solo con sus cursos y materias.</t>
  </si>
  <si>
    <t xml:space="preserve">Gestión Académica Base</t>
  </si>
  <si>
    <t xml:space="preserve">NUEVA (propuesta del análisis; requiere aprobación del docente). US-01 necesita que existan estudiantes, materias, periodos y la asignación profesor–materia.</t>
  </si>
  <si>
    <t xml:space="preserve">US-01</t>
  </si>
  <si>
    <t xml:space="preserve">Como profesor, quiero registrar las calificaciones de cada estudiante por materia, actividad y periodo en un sistema único, para dejar de tener notas dispersas entre cuadernos, Excel y mensajes de WhatsApp.</t>
  </si>
  <si>
    <t xml:space="preserve">Registro Central de Notas</t>
  </si>
  <si>
    <t xml:space="preserve">Depende de US-17 y US-18. Módulo crítico del SQAP (TDD obligatorio).</t>
  </si>
  <si>
    <t xml:space="preserve">US-02</t>
  </si>
  <si>
    <t xml:space="preserve">Como profesor, quiero que el sistema calcule automáticamente el promedio y la nota final de cada estudiante por periodo según la ponderación que yo defina para cada tipo de actividad, para evitar errores de cálculo manual y ahorrar horas al cierre de trimestre.</t>
  </si>
  <si>
    <t xml:space="preserve">Cálculo Automático de Promedios</t>
  </si>
  <si>
    <t xml:space="preserve">Depende de US-01 y US-18. Módulo crítico del SQAP (TDD, cobertura ≥ 90 %). Se adelanta al Sprint 1 porque es el núcleo del sistema y el mayor riesgo (R02). Importante: las ponderaciones no las decide el profesor; las fija el Ministerio de Educación por dimensión (RM 001/2026: Ser 10, Saber 45, Hacer 40, Autoevaluación 5). El profesor define las actividades dentro de cada dimensión (ver hoja Reglas MinEdu).</t>
  </si>
  <si>
    <t xml:space="preserve">US-04</t>
  </si>
  <si>
    <t xml:space="preserve">Como profesor, quiero corregir una nota ya registrada y que el sistema guarde quién la cambió, cuándo y cuál era el valor anterior, para poder justificar cualquier corrección ante los padres o la dirección académica.</t>
  </si>
  <si>
    <t xml:space="preserve">Corrección Auditable de Notas</t>
  </si>
  <si>
    <t xml:space="preserve">Sprint 2</t>
  </si>
  <si>
    <t xml:space="preserve">Depende de US-01. Se propone como tercer módulo crítico del SQAP (cubre RNF-04).</t>
  </si>
  <si>
    <t xml:space="preserve">US-03</t>
  </si>
  <si>
    <t xml:space="preserve">Como profesor, quiero consultar en cualquier momento el historial completo de notas de un estudiante a lo largo del año, para identificar su evolución académica sin tener que buscar en registros físicos anteriores.</t>
  </si>
  <si>
    <t xml:space="preserve">Historial Académico del Estudiante</t>
  </si>
  <si>
    <t xml:space="preserve">Depende de US-01.</t>
  </si>
  <si>
    <t xml:space="preserve">US-19</t>
  </si>
  <si>
    <t xml:space="preserve">Como profesor, quiero registrar la asistencia de mis estudiantes en cada clase, para que el sistema calcule su porcentaje de asistencia sin llevarlo en un cuaderno aparte.</t>
  </si>
  <si>
    <t xml:space="preserve">Registro de Asistencia</t>
  </si>
  <si>
    <t xml:space="preserve">NUEVA (propuesta del análisis; requiere aprobación del docente). US-06 y US-07 muestran el porcentaje de asistencia, pero ninguna historia lo registraba. Depende de US-18.</t>
  </si>
  <si>
    <t xml:space="preserve">US-05</t>
  </si>
  <si>
    <t xml:space="preserve">Como profesor, quiero importar las notas que ya tengo registradas en planillas Excel para migrarlas al sistema sin volver a digitarlas una por una, para que la adopción no me genere doble trabajo.</t>
  </si>
  <si>
    <t xml:space="preserve">Importación desde Excel</t>
  </si>
  <si>
    <t xml:space="preserve">MEDIA</t>
  </si>
  <si>
    <t xml:space="preserve">Depende de US-01. Las notas importadas pasan por la misma validación y auditoría que US-01 y US-04.</t>
  </si>
  <si>
    <t xml:space="preserve">US-10</t>
  </si>
  <si>
    <t xml:space="preserve">Como secretaria, quiero ver qué profesores ya entregaron sus notas y cuáles faltan por curso, para hacer seguimiento antes del cierre del trimestre.</t>
  </si>
  <si>
    <t xml:space="preserve">Control de Entrega de Notas</t>
  </si>
  <si>
    <t xml:space="preserve">Depende de US-01 y US-18. (Valores estimados: validar con el dueño del producto.)</t>
  </si>
  <si>
    <t xml:space="preserve">US-06</t>
  </si>
  <si>
    <t xml:space="preserve">Como profesor, quiero ver en un solo panel el listado de estudiantes de mi curso con su promedio actual y su porcentaje de asistencia, para identificar de un vistazo quiénes están en riesgo académico antes del cierre de periodo.</t>
  </si>
  <si>
    <t xml:space="preserve">Panel de Riesgo Académico</t>
  </si>
  <si>
    <t xml:space="preserve">Planificada</t>
  </si>
  <si>
    <t xml:space="preserve">Sprint 3</t>
  </si>
  <si>
    <t xml:space="preserve">Depende de US-02 y US-19.</t>
  </si>
  <si>
    <t xml:space="preserve">US-07</t>
  </si>
  <si>
    <t xml:space="preserve">Como profesor, quiero generar el boletín de calificaciones de cada estudiante con sus notas por materia, promedio final y porcentaje de asistencia en un PDF listo para entregar, para no armar el documento manualmente al cierre de cada periodo.</t>
  </si>
  <si>
    <t xml:space="preserve">Boletín de Notas en PDF</t>
  </si>
  <si>
    <t xml:space="preserve">Depende de US-02, US-03 y US-19. Riesgo R05 / defecto CAL-001: generación en cola para cursos de más de 50 estudiantes.</t>
  </si>
  <si>
    <t xml:space="preserve">US-20</t>
  </si>
  <si>
    <t xml:space="preserve">Como secretaria, quiero vincular la cuenta de cada padre de familia con sus hijos, para que cada padre vea únicamente la información de sus propios hijos.</t>
  </si>
  <si>
    <t xml:space="preserve">Vinculación Padre–Estudiante</t>
  </si>
  <si>
    <t xml:space="preserve">NUEVA (propuesta del análisis; requiere aprobación del docente). US-11 y US-12 dicen "mi hijo", pero nada define qué hijo es de quién. Sin esto, un padre podría ver datos de otro estudiante (datos de menores).</t>
  </si>
  <si>
    <t xml:space="preserve">US-11</t>
  </si>
  <si>
    <t xml:space="preserve">Como padre de familia, quiero consultar y descargar el boletín de mi hijo desde el sistema, para conocer su rendimiento sin depender de que el estudiante me lo entregue.</t>
  </si>
  <si>
    <t xml:space="preserve">Consulta de Boletín</t>
  </si>
  <si>
    <t xml:space="preserve">Depende de US-07 y US-20 (mismo sprint: hacer primero US-07 y US-20). (Valores estimados: validar con el dueño del producto.)</t>
  </si>
  <si>
    <t xml:space="preserve">US-09</t>
  </si>
  <si>
    <t xml:space="preserve">Como secretaria, quiero que las notas de todos los profesores se centralicen automáticamente al cierre del trimestre, para no tener que recopilarlas y transcribirlas manualmente.</t>
  </si>
  <si>
    <t xml:space="preserve">Centralización de Notas</t>
  </si>
  <si>
    <t xml:space="preserve">Sprint 4</t>
  </si>
  <si>
    <t xml:space="preserve">Depende de US-01, US-02 y US-10. (Valores estimados: validar con el dueño del producto.)</t>
  </si>
  <si>
    <t xml:space="preserve">US-08</t>
  </si>
  <si>
    <t xml:space="preserve">Como profesor, quiero recibir una alerta automática cuando el promedio de un estudiante caiga por debajo del mínimo aprobatorio, para poder comunicarme con el tutor a tiempo y no enterarme recién al cierre del periodo.</t>
  </si>
  <si>
    <t xml:space="preserve">Alerta de Promedio Bajo</t>
  </si>
  <si>
    <t xml:space="preserve">BAJA</t>
  </si>
  <si>
    <t xml:space="preserve">Depende de US-02 y US-06. Canal de notificación: aviso en el sistema y correo (decisión D7 de `docs/backlog/reglas-ministerio.md`).</t>
  </si>
  <si>
    <t xml:space="preserve">US-12</t>
  </si>
  <si>
    <t xml:space="preserve">Como padre de familia, quiero recibir una notificación cuando el boletín de mi hijo esté disponible, para enterarme a tiempo de sus resultados.</t>
  </si>
  <si>
    <t xml:space="preserve">Aviso de Boletín</t>
  </si>
  <si>
    <t xml:space="preserve">Depende de US-07, US-11 y US-20. Usa el mismo canal de notificación que US-08. (Valores estimados: validar con el dueño del producto.)</t>
  </si>
  <si>
    <t xml:space="preserve">US-16</t>
  </si>
  <si>
    <t xml:space="preserve">Como secretaria, quiero registrar los pagos y ver un reporte de los estudiantes con mensualidades pendientes, para llevar el control sin tener que cobrar estudiante por estudiante.</t>
  </si>
  <si>
    <t xml:space="preserve">Control de Pagos</t>
  </si>
  <si>
    <t xml:space="preserve">Release 2 (fuera de v1.0)</t>
  </si>
  <si>
    <t xml:space="preserve">Propuesta: módulo de pagos fuera de la versión 1.0. No cabe en 4 sprints con 2 personas y los pagos elevan el nivel de integridad a 3 (IEEE 1012). Negociar con el docente. (Valores estimados: validar con el dueño del producto.)</t>
  </si>
  <si>
    <t xml:space="preserve">US-13</t>
  </si>
  <si>
    <t xml:space="preserve">Como padre de familia, quiero ver el estado de las mensualidades de mi hijo (pagadas, pendientes y vencidas), para saber exactamente cuánto debo y hasta cuándo.</t>
  </si>
  <si>
    <t xml:space="preserve">Estado de Mensualidades</t>
  </si>
  <si>
    <t xml:space="preserve">Depende de US-16. Módulo de pagos fuera de v1.0 (ver US-16). (Valores estimados: validar con el dueño del producto.)</t>
  </si>
  <si>
    <t xml:space="preserve">US-15</t>
  </si>
  <si>
    <t xml:space="preserve">Como padre de familia, quiero recibir recordatorios antes del vencimiento de cada mensualidad, para no depender de que mi hijo me avise.</t>
  </si>
  <si>
    <t xml:space="preserve">Recordatorio de Pago</t>
  </si>
  <si>
    <t xml:space="preserve">Depende de US-13. Módulo de pagos fuera de v1.0 (ver US-16). (Valores estimados: validar con el dueño del producto.)</t>
  </si>
  <si>
    <t xml:space="preserve">US-14</t>
  </si>
  <si>
    <t xml:space="preserve">Como padre de familia, quiero pagar las mensualidades en línea (QR o transferencia), para no tener que ir al colegio ni enviar el dinero con mi hijo.</t>
  </si>
  <si>
    <t xml:space="preserve">Pago en Línea</t>
  </si>
  <si>
    <t xml:space="preserve">Depende de US-13. Integración con QR/transferencia: requiere proveedor de pagos y controles de seguridad de nivel 3. Fuera de v1.0 (ver US-16). (Valores estimados: validar con el dueño del producto.)</t>
  </si>
  <si>
    <t xml:space="preserve">Leyenda:</t>
  </si>
  <si>
    <t xml:space="preserve">Amarillo = historia nueva propuesta (falta aprobación del docente). Gris = fuera de la versión 1.0 (Estado vacío = identificada, sin iteración asignada, según el Instructivo). Orden: por sprint y luego por prioridad.</t>
  </si>
  <si>
    <t xml:space="preserve">Plan de 4 sprints de 1 semana — CalisFacu v1.0</t>
  </si>
  <si>
    <t xml:space="preserve">Velocidad supuesta del equipo (puntos de historia por sprint)</t>
  </si>
  <si>
    <t xml:space="preserve">2 integrantes. Con sprints de 1 semana, 20 puntos por semana es exigente: medir la velocidad real al cerrar la semana 1 y, si es menor, recortar empezando por las historias BAJA del Sprint 4 (US-08, US-12).</t>
  </si>
  <si>
    <t xml:space="preserve">Duración de cada sprint (semanas)</t>
  </si>
  <si>
    <t xml:space="preserve">Plazo fijo del equipo: 4 semanas en total, un sprint por semana.</t>
  </si>
  <si>
    <t xml:space="preserve">Sprint</t>
  </si>
  <si>
    <t xml:space="preserve">Historias</t>
  </si>
  <si>
    <t xml:space="preserve">Puntos planificados</t>
  </si>
  <si>
    <t xml:space="preserve">Carga vs. velocidad</t>
  </si>
  <si>
    <t xml:space="preserve">Objetivo del sprint</t>
  </si>
  <si>
    <t xml:space="preserve">Actividades de calidad (SQAP) que cierran el sprint</t>
  </si>
  <si>
    <t xml:space="preserve">US-17, US-18, US-01, US-02</t>
  </si>
  <si>
    <t xml:space="preserve">Semana 1. Un profesor inicia sesión, registra notas de su materia y ve el promedio calculado correctamente.</t>
  </si>
  <si>
    <t xml:space="preserve">Días 1–2: revisión e inspección Fagan del SRS con el cliente; tabla de casos de prueba del cálculo según la RM 001/2026, firmada por el cliente (R02); inspección Fagan del SAD · Día 2: repositorio con develop y main protegidas, Husky y Jenkins Multibranch; staging con despliegue continuo y smoke test (ADR-0009) (ESLint + Prettier, Jest + cobertura, SonarQube Cloud, npm audit) · Día 5: auditoría de cierre del Sprint 1</t>
  </si>
  <si>
    <t xml:space="preserve">US-04, US-03, US-19, US-05, US-10</t>
  </si>
  <si>
    <t xml:space="preserve">Semana 2. Las notas se corrigen con auditoría, se importan desde Excel y se registra la asistencia.</t>
  </si>
  <si>
    <t xml:space="preserve">Día 1: revisión de diseño detallado de US-04 y US-05 · Primeros escenarios E2E de Cypress (Registrar calificación) · Día 5: auditoría de cierre del Sprint 2</t>
  </si>
  <si>
    <t xml:space="preserve">US-06, US-07, US-20, US-11</t>
  </si>
  <si>
    <t xml:space="preserve">Semana 3. El profesor genera el boletín en PDF y el padre lo consulta.</t>
  </si>
  <si>
    <t xml:space="preserve">Día 4: release candidate RC1 con E2E completo y prueba de carga JMeter (M03, M04) · Prueba de usabilidad con profesores nuevos · Día 5: auditoría de cierre del Sprint 3</t>
  </si>
  <si>
    <t xml:space="preserve">US-09, US-08, US-12</t>
  </si>
  <si>
    <t xml:space="preserve">Semana 4. La secretaria centraliza las notas del trimestre en el formato de la planilla oficial y los avisos automáticos funcionan.</t>
  </si>
  <si>
    <t xml:space="preserve">Día 3: RC2 con todas las métricas en verde · Día 4: pruebas de aceptación con el cliente (acta firmada) · Manual de usuario y manual técnico · Día 5: auditoría final del SQAP y release v1.0</t>
  </si>
  <si>
    <t xml:space="preserve">US-16, US-13, US-15, US-14</t>
  </si>
  <si>
    <t xml:space="preserve">Módulo de pagos (propuesto para una versión posterior).</t>
  </si>
  <si>
    <t xml:space="preserve">Si se incluye: reevaluar el nivel de integridad a 3 y actualizar el SQAP antes de construir.</t>
  </si>
  <si>
    <t xml:space="preserve">Total v1.0 (Sprints 1 a 4)</t>
  </si>
  <si>
    <t xml:space="preserve">Total backlog completo</t>
  </si>
  <si>
    <t xml:space="preserve">Capacidad por persona (horas por semana)</t>
  </si>
  <si>
    <t xml:space="preserve">Supuesto: ajustar a las horas reales que cada uno puede dedicar.</t>
  </si>
  <si>
    <t xml:space="preserve">Horas Lujan</t>
  </si>
  <si>
    <t xml:space="preserve">Horas Galvan</t>
  </si>
  <si>
    <t xml:space="preserve">Estado Lujan</t>
  </si>
  <si>
    <t xml:space="preserve">Estado Galvan</t>
  </si>
  <si>
    <t xml:space="preserve">Pila del sprint: tareas por historia</t>
  </si>
  <si>
    <t xml:space="preserve">Revisor = el otro integrante (nadie aprueba su propio PR). "Backend (crítico)" = módulos críticos del SQAP: los programa Lujan y los aprueba Galvan, que no programa módulos críticos. Horas = estimación inicial; ajustar en la planificación de cada sprint.</t>
  </si>
  <si>
    <t xml:space="preserve">ID</t>
  </si>
  <si>
    <t xml:space="preserve">Historia</t>
  </si>
  <si>
    <t xml:space="preserve">Tarea</t>
  </si>
  <si>
    <t xml:space="preserve">Tipo</t>
  </si>
  <si>
    <t xml:space="preserve">Responsable</t>
  </si>
  <si>
    <t xml:space="preserve">Revisor</t>
  </si>
  <si>
    <t xml:space="preserve">Horas est.</t>
  </si>
  <si>
    <t xml:space="preserve">Criterio / métrica</t>
  </si>
  <si>
    <t xml:space="preserve">T-001</t>
  </si>
  <si>
    <t xml:space="preserve">Calidad</t>
  </si>
  <si>
    <t xml:space="preserve">Inspección Fagan del SRS con el cliente (moderador y escriba); acta en docs/actas/</t>
  </si>
  <si>
    <t xml:space="preserve">Revisión</t>
  </si>
  <si>
    <t xml:space="preserve">Galvan</t>
  </si>
  <si>
    <t xml:space="preserve">Lujan</t>
  </si>
  <si>
    <t xml:space="preserve">Por hacer</t>
  </si>
  <si>
    <t xml:space="preserve">SQAP Sec. 6</t>
  </si>
  <si>
    <t xml:space="preserve">T-002</t>
  </si>
  <si>
    <t xml:space="preserve">Redactar el SAD: modelo de datos PostgreSQL, módulos NestJS y ADRs del stack</t>
  </si>
  <si>
    <t xml:space="preserve">Diseño</t>
  </si>
  <si>
    <t xml:space="preserve">En revisión</t>
  </si>
  <si>
    <t xml:space="preserve">SQAP Sec. 4</t>
  </si>
  <si>
    <t xml:space="preserve">T-003</t>
  </si>
  <si>
    <t xml:space="preserve">Inspección Fagan del SAD con un inspector de otro equipo; acta</t>
  </si>
  <si>
    <t xml:space="preserve">T-004</t>
  </si>
  <si>
    <t xml:space="preserve">Tabla de casos de prueba del cálculo (RM 001/2026, hoja Reglas MinEdu) firmada por el cliente; resolver los ❓</t>
  </si>
  <si>
    <t xml:space="preserve">Requerimientos</t>
  </si>
  <si>
    <t xml:space="preserve">R02</t>
  </si>
  <si>
    <t xml:space="preserve">T-005</t>
  </si>
  <si>
    <t xml:space="preserve">Infra</t>
  </si>
  <si>
    <t xml:space="preserve">Monorepo: api (NestJS + TypeORM) y web (React + Vite + TypeScript); Docker Compose con PostgreSQL</t>
  </si>
  <si>
    <t xml:space="preserve">T-006</t>
  </si>
  <si>
    <t xml:space="preserve">ESLint + Prettier; Husky + lint-staged + commitlint (Conventional Commits)</t>
  </si>
  <si>
    <t xml:space="preserve">Práctica 8</t>
  </si>
  <si>
    <t xml:space="preserve">T-007</t>
  </si>
  <si>
    <t xml:space="preserve">Jenkins en Docker (jenkins/) y job Multibranch: lint, pruebas con umbral de cobertura en Jest, build; PostgreSQL de CI</t>
  </si>
  <si>
    <t xml:space="preserve">M01, M05, M06</t>
  </si>
  <si>
    <t xml:space="preserve">T-008</t>
  </si>
  <si>
    <t xml:space="preserve">Proteger develop y main (PR + check de Jenkins) y npm audit en el CI</t>
  </si>
  <si>
    <t xml:space="preserve">M08</t>
  </si>
  <si>
    <t xml:space="preserve">T-009</t>
  </si>
  <si>
    <t xml:space="preserve">Entidad Usuario y Rol con migración de TypeORM; seed de usuarios sintéticos</t>
  </si>
  <si>
    <t xml:space="preserve">Backend</t>
  </si>
  <si>
    <t xml:space="preserve">R07</t>
  </si>
  <si>
    <t xml:space="preserve">T-010</t>
  </si>
  <si>
    <t xml:space="preserve">Autenticación JWT con Passport, contraseñas con argon2, bloqueo tras 5 intentos y expiración de sesión</t>
  </si>
  <si>
    <t xml:space="preserve">US-17 CA 1, 3, 4</t>
  </si>
  <si>
    <t xml:space="preserve">T-011</t>
  </si>
  <si>
    <t xml:space="preserve">Guard de roles y pruebas que exigen HTTP 403 en rutas de escritura de notas</t>
  </si>
  <si>
    <t xml:space="preserve">M09</t>
  </si>
  <si>
    <t xml:space="preserve">T-012</t>
  </si>
  <si>
    <t xml:space="preserve">Pantalla de inicio de sesión y menú por rol</t>
  </si>
  <si>
    <t xml:space="preserve">Frontend</t>
  </si>
  <si>
    <t xml:space="preserve">US-17 CA 1</t>
  </si>
  <si>
    <t xml:space="preserve">T-013</t>
  </si>
  <si>
    <t xml:space="preserve">E2E Cypress: inicio de sesión de cada rol</t>
  </si>
  <si>
    <t xml:space="preserve">Prueba</t>
  </si>
  <si>
    <t xml:space="preserve">M02</t>
  </si>
  <si>
    <t xml:space="preserve">T-014</t>
  </si>
  <si>
    <t xml:space="preserve">Modelo académico: gestión, trimestre, unidad educativa (código SIE, nivel, año, paralelo), curso, materia, estudiante, asignación profesor–materia; migraciones y seed</t>
  </si>
  <si>
    <t xml:space="preserve">US-18 CA 1–5</t>
  </si>
  <si>
    <t xml:space="preserve">T-015</t>
  </si>
  <si>
    <t xml:space="preserve">Configuración de dimensiones por gestión (suman 100; bloqueadas si hay notas) — TDD</t>
  </si>
  <si>
    <t xml:space="preserve">Backend (crítico)</t>
  </si>
  <si>
    <t xml:space="preserve">US-18 CA 6–7, RNF-01</t>
  </si>
  <si>
    <t xml:space="preserve">T-016</t>
  </si>
  <si>
    <t xml:space="preserve">API CRUD de la secretaria: cursos, materias, estudiantes y asignaciones</t>
  </si>
  <si>
    <t xml:space="preserve">US-18 CA 1–3</t>
  </si>
  <si>
    <t xml:space="preserve">T-017</t>
  </si>
  <si>
    <t xml:space="preserve">Pantallas de la secretaria para la gestión académica</t>
  </si>
  <si>
    <t xml:space="preserve">T-018</t>
  </si>
  <si>
    <t xml:space="preserve">TDD: validación de notas (1 a 100) y guardado de la planilla en una sola transacción</t>
  </si>
  <si>
    <t xml:space="preserve">US-01 CA 2–3, M01</t>
  </si>
  <si>
    <t xml:space="preserve">T-019</t>
  </si>
  <si>
    <t xml:space="preserve">Endpoint para registrar notas por actividad y dimensión</t>
  </si>
  <si>
    <t xml:space="preserve">US-01 CA 1</t>
  </si>
  <si>
    <t xml:space="preserve">T-020</t>
  </si>
  <si>
    <t xml:space="preserve">Planilla de registro de notas por dimensión</t>
  </si>
  <si>
    <t xml:space="preserve">T-021</t>
  </si>
  <si>
    <t xml:space="preserve">E2E Cypress: Registrar calificación</t>
  </si>
  <si>
    <t xml:space="preserve">T-022</t>
  </si>
  <si>
    <t xml:space="preserve">TDD: servicio de cálculo (puntos por dimensión, nota trimestral, redondeo, aprobación con 51) con aritmética decimal; casos de la tabla firmada</t>
  </si>
  <si>
    <t xml:space="preserve">US-02 CA 1–6, M01, M06</t>
  </si>
  <si>
    <t xml:space="preserve">T-023</t>
  </si>
  <si>
    <t xml:space="preserve">Umbral de cobertura ≥ 90 % para el módulo de cálculo en coverageThreshold de Jest</t>
  </si>
  <si>
    <t xml:space="preserve">M06</t>
  </si>
  <si>
    <t xml:space="preserve">T-024</t>
  </si>
  <si>
    <t xml:space="preserve">Mostrar la nota trimestral y el estado (aprueba / reprueba) en la planilla</t>
  </si>
  <si>
    <t xml:space="preserve">T-025</t>
  </si>
  <si>
    <t xml:space="preserve">Auditoría de cierre: Galvan audita los artefactos de desarrollo de Lujan</t>
  </si>
  <si>
    <t xml:space="preserve">Auditoría</t>
  </si>
  <si>
    <t xml:space="preserve">T-026</t>
  </si>
  <si>
    <t xml:space="preserve">Auditoría de cierre: Lujan audita las evidencias de prueba de Galvan</t>
  </si>
  <si>
    <t xml:space="preserve">T-027</t>
  </si>
  <si>
    <t xml:space="preserve">Revisión de diseño detallado de US-04 y US-05 (autor Lujan)</t>
  </si>
  <si>
    <t xml:space="preserve">T-028</t>
  </si>
  <si>
    <t xml:space="preserve">Staging con despliegue continuo: API y web en Render (render.yaml, ADR-0009); despliegue desde el Jenkinsfile en cada push a develop y smoke test del commit desplegado</t>
  </si>
  <si>
    <t xml:space="preserve">T-029</t>
  </si>
  <si>
    <t xml:space="preserve">Etapa E2E del Jenkinsfile contra staging; artefactos de evidencia</t>
  </si>
  <si>
    <t xml:space="preserve">T-030</t>
  </si>
  <si>
    <t xml:space="preserve">SonarQube Cloud con Quality Gate en cada PR y Dependabot (análisis estático exigido desde la semana 2)</t>
  </si>
  <si>
    <t xml:space="preserve">M05, M07, M08</t>
  </si>
  <si>
    <t xml:space="preserve">T-031</t>
  </si>
  <si>
    <t xml:space="preserve">TDD: corrección con motivo obligatorio, registro de auditoría de solo inserción y recálculo en la misma transacción</t>
  </si>
  <si>
    <t xml:space="preserve">US-04 CA 1–3, RNF-04</t>
  </si>
  <si>
    <t xml:space="preserve">T-032</t>
  </si>
  <si>
    <t xml:space="preserve">Pantalla para corregir una nota con motivo y ver su historial de cambios</t>
  </si>
  <si>
    <t xml:space="preserve">T-033</t>
  </si>
  <si>
    <t xml:space="preserve">E2E Cypress: corrección auditable</t>
  </si>
  <si>
    <t xml:space="preserve">T-034</t>
  </si>
  <si>
    <t xml:space="preserve">API de historial del estudiante con control de acceso (403)</t>
  </si>
  <si>
    <t xml:space="preserve">US-03 CA 1–2, M09</t>
  </si>
  <si>
    <t xml:space="preserve">T-035</t>
  </si>
  <si>
    <t xml:space="preserve">Pantalla de historial por trimestre</t>
  </si>
  <si>
    <t xml:space="preserve">T-036</t>
  </si>
  <si>
    <t xml:space="preserve">API de asistencia (sin fechas futuras) y cálculo del porcentaje</t>
  </si>
  <si>
    <t xml:space="preserve">US-19 CA 1–3</t>
  </si>
  <si>
    <t xml:space="preserve">T-037</t>
  </si>
  <si>
    <t xml:space="preserve">Pantalla de toma de asistencia por clase</t>
  </si>
  <si>
    <t xml:space="preserve">T-038</t>
  </si>
  <si>
    <t xml:space="preserve">Importación .xlsx con exceljs: vista previa, validación por fila, confirmación y auditoría con origen "importación"</t>
  </si>
  <si>
    <t xml:space="preserve">US-05 CA 1–3</t>
  </si>
  <si>
    <t xml:space="preserve">T-039</t>
  </si>
  <si>
    <t xml:space="preserve">Pantalla de carga y vista previa de la importación</t>
  </si>
  <si>
    <t xml:space="preserve">T-040</t>
  </si>
  <si>
    <t xml:space="preserve">API y pantalla de control de entrega de notas</t>
  </si>
  <si>
    <t xml:space="preserve">Full stack</t>
  </si>
  <si>
    <t xml:space="preserve">US-10 CA 1–2</t>
  </si>
  <si>
    <t xml:space="preserve">T-041</t>
  </si>
  <si>
    <t xml:space="preserve">T-042</t>
  </si>
  <si>
    <t xml:space="preserve">T-043</t>
  </si>
  <si>
    <t xml:space="preserve">API del panel de riesgo (promedio actual, % de asistencia, umbral configurable)</t>
  </si>
  <si>
    <t xml:space="preserve">US-06 CA 1–2</t>
  </si>
  <si>
    <t xml:space="preserve">T-044</t>
  </si>
  <si>
    <t xml:space="preserve">Pantalla del panel de riesgo con resaltado</t>
  </si>
  <si>
    <t xml:space="preserve">T-045</t>
  </si>
  <si>
    <t xml:space="preserve">Generación del boletín en PDF con encabezado oficial (SIE, nivel, año, paralelo)</t>
  </si>
  <si>
    <t xml:space="preserve">US-07 CA 1</t>
  </si>
  <si>
    <t xml:space="preserve">T-046</t>
  </si>
  <si>
    <t xml:space="preserve">Cola con BullMQ + Redis para cursos de más de 50 estudiantes, con aviso al terminar</t>
  </si>
  <si>
    <t xml:space="preserve">US-07 CA 3, R05</t>
  </si>
  <si>
    <t xml:space="preserve">T-047</t>
  </si>
  <si>
    <t xml:space="preserve">Pantalla para generar boletines y ver su estado</t>
  </si>
  <si>
    <t xml:space="preserve">T-048</t>
  </si>
  <si>
    <t xml:space="preserve">API de vinculación padre–estudiante y guard de pertenencia (403)</t>
  </si>
  <si>
    <t xml:space="preserve">US-20 CA 1–2</t>
  </si>
  <si>
    <t xml:space="preserve">T-049</t>
  </si>
  <si>
    <t xml:space="preserve">Pantalla de la secretaria para vincular padres</t>
  </si>
  <si>
    <t xml:space="preserve">T-050</t>
  </si>
  <si>
    <t xml:space="preserve">API para publicar y consultar boletines</t>
  </si>
  <si>
    <t xml:space="preserve">US-11 CA 1–2</t>
  </si>
  <si>
    <t xml:space="preserve">T-051</t>
  </si>
  <si>
    <t xml:space="preserve">Pantalla del padre para ver y descargar el boletín</t>
  </si>
  <si>
    <t xml:space="preserve">T-052</t>
  </si>
  <si>
    <t xml:space="preserve">Planes de JMeter (registrar notas y boletín) y job de rendimiento con umbrales p95 y tasa de error</t>
  </si>
  <si>
    <t xml:space="preserve">M03, M04</t>
  </si>
  <si>
    <t xml:space="preserve">T-053</t>
  </si>
  <si>
    <t xml:space="preserve">RC1: suite E2E completa en verde</t>
  </si>
  <si>
    <t xml:space="preserve">T-054</t>
  </si>
  <si>
    <t xml:space="preserve">Prueba de usabilidad con 5 profesores nuevos y cuestionario SUS</t>
  </si>
  <si>
    <t xml:space="preserve">Usabilidad</t>
  </si>
  <si>
    <t xml:space="preserve">T-055</t>
  </si>
  <si>
    <t xml:space="preserve">T-056</t>
  </si>
  <si>
    <t xml:space="preserve">Hecho</t>
  </si>
  <si>
    <t xml:space="preserve">T-057</t>
  </si>
  <si>
    <t xml:space="preserve">API de centralización: valida materias pendientes y cierra el trimestre</t>
  </si>
  <si>
    <t xml:space="preserve">US-09 CA 1–2</t>
  </si>
  <si>
    <t xml:space="preserve">T-058</t>
  </si>
  <si>
    <t xml:space="preserve">Exportación del centralizador a PDF y Excel con el formato de la planilla oficial</t>
  </si>
  <si>
    <t xml:space="preserve">US-09 CA 3</t>
  </si>
  <si>
    <t xml:space="preserve">T-059</t>
  </si>
  <si>
    <t xml:space="preserve">Pantalla de centralización</t>
  </si>
  <si>
    <t xml:space="preserve">T-060</t>
  </si>
  <si>
    <t xml:space="preserve">Servicio de alertas al recalcular (sin repetir la misma alerta)</t>
  </si>
  <si>
    <t xml:space="preserve">US-08 CA 1–2</t>
  </si>
  <si>
    <t xml:space="preserve">T-061</t>
  </si>
  <si>
    <t xml:space="preserve">Notificaciones en el sistema y por correo mediante un proveedor con API HTTP</t>
  </si>
  <si>
    <t xml:space="preserve">US-08 CA 1</t>
  </si>
  <si>
    <t xml:space="preserve">T-062</t>
  </si>
  <si>
    <t xml:space="preserve">Aviso por correo al publicar un boletín (reutiliza las notificaciones)</t>
  </si>
  <si>
    <t xml:space="preserve">US-12 CA 1</t>
  </si>
  <si>
    <t xml:space="preserve">T-063</t>
  </si>
  <si>
    <t xml:space="preserve">RC2: todas las métricas del SQAP en verde, con evidencias archivadas</t>
  </si>
  <si>
    <t xml:space="preserve">M01–M09</t>
  </si>
  <si>
    <t xml:space="preserve">T-064</t>
  </si>
  <si>
    <t xml:space="preserve">Pruebas de aceptación con el cliente; acta firmada</t>
  </si>
  <si>
    <t xml:space="preserve">Aceptación</t>
  </si>
  <si>
    <t xml:space="preserve">SQAP Sec. 7</t>
  </si>
  <si>
    <t xml:space="preserve">T-065</t>
  </si>
  <si>
    <t xml:space="preserve">Manual de usuario (walkthrough con un profesor piloto)</t>
  </si>
  <si>
    <t xml:space="preserve">Documentación</t>
  </si>
  <si>
    <t xml:space="preserve">T-066</t>
  </si>
  <si>
    <t xml:space="preserve">Manual técnico (instalación, despliegue, arquitectura)</t>
  </si>
  <si>
    <t xml:space="preserve">T-067</t>
  </si>
  <si>
    <t xml:space="preserve">Auditoría final del SQAP contra los 7 indicadores</t>
  </si>
  <si>
    <t xml:space="preserve">T-068</t>
  </si>
  <si>
    <t xml:space="preserve">Auditoría final de las evidencias de prueba</t>
  </si>
  <si>
    <t xml:space="preserve">T-069</t>
  </si>
  <si>
    <t xml:space="preserve">Release v1.0: PR develop → main, etiqueta v1.0.0, CHANGELOG y despliegue a producción</t>
  </si>
  <si>
    <t xml:space="preserve">SQAP Sec. 10</t>
  </si>
  <si>
    <t xml:space="preserve">Definition of Ready y Definition of Done</t>
  </si>
  <si>
    <t xml:space="preserve">Definition of Ready: una historia entra al sprint solo si…</t>
  </si>
  <si>
    <t xml:space="preserve">Cómo se comprueba</t>
  </si>
  <si>
    <t xml:space="preserve">Tiene enunciado Como / Quiero / Para, alias y puntos de historia.</t>
  </si>
  <si>
    <t xml:space="preserve">Hoja Historias de Usuario</t>
  </si>
  <si>
    <t xml:space="preserve">Tiene criterios de aceptación en formato Dado / Cuando / Entonces.</t>
  </si>
  <si>
    <t xml:space="preserve">Hoja Criterios de aceptación</t>
  </si>
  <si>
    <t xml:space="preserve">No le queda ningún ❓ sin resolver.</t>
  </si>
  <si>
    <t xml:space="preserve">Respuesta del cliente anotada en la hoja</t>
  </si>
  <si>
    <t xml:space="preserve">Sus dependencias están en un sprint anterior o primero en el mismo sprint.</t>
  </si>
  <si>
    <t xml:space="preserve">Columna Comentarios</t>
  </si>
  <si>
    <t xml:space="preserve">Está dividida en tareas con responsable, revisor y horas.</t>
  </si>
  <si>
    <t xml:space="preserve">Hoja Tareas (Sprint Backlog)</t>
  </si>
  <si>
    <t xml:space="preserve">Si es un módulo crítico, su diseño detallado fue revisado.</t>
  </si>
  <si>
    <t xml:space="preserve">Acta en docs/actas/</t>
  </si>
  <si>
    <t xml:space="preserve">Definition of Done: una historia está Hecha solo si…</t>
  </si>
  <si>
    <t xml:space="preserve">Todos sus criterios de aceptación tienen una prueba automatizada que pasa.</t>
  </si>
  <si>
    <t xml:space="preserve">Test Result del build de Jenkins</t>
  </si>
  <si>
    <t xml:space="preserve">El pipeline está sano: lint, pruebas, cobertura, Quality Gate y auditoría de dependencias en verde.</t>
  </si>
  <si>
    <t xml:space="preserve">Build de Jenkins del commit en develop (ADR-0008)</t>
  </si>
  <si>
    <t xml:space="preserve">Cobertura ≥ 80 % en código nuevo y ≥ 90 % en el módulo de cálculo, exigida por la herramienta.</t>
  </si>
  <si>
    <t xml:space="preserve">coverageThreshold de Jest y Quality Gate</t>
  </si>
  <si>
    <t xml:space="preserve">El otro integrante revisó sus commits en develop; nadie aprueba su propio código.</t>
  </si>
  <si>
    <t xml:space="preserve">Comentarios de revisión en los commits de GitHub</t>
  </si>
  <si>
    <t xml:space="preserve">Está desplegada en staging y el smoke test pasa con el commit correcto.</t>
  </si>
  <si>
    <t xml:space="preserve">Job de smoke test</t>
  </si>
  <si>
    <t xml:space="preserve">El dueño del producto la revisó en la demo del sprint.</t>
  </si>
  <si>
    <t xml:space="preserve">Acta de la revisión del sprint</t>
  </si>
  <si>
    <t xml:space="preserve">La documentación que cambió (SRS, SAD, manual) se actualizó en el mismo PR.</t>
  </si>
  <si>
    <t xml:space="preserve">Diff del PR</t>
  </si>
  <si>
    <t xml:space="preserve">Criterios de aceptación (formato Dado / Cuando / Entonces)</t>
  </si>
  <si>
    <t xml:space="preserve">Cada criterio es una prueba: Jest (unitaria o e2e con Supertest) o Cypress (E2E). ❓ = regla que el cliente debe confirmar antes de iniciar la historia.</t>
  </si>
  <si>
    <t xml:space="preserve">N.º</t>
  </si>
  <si>
    <t xml:space="preserve">Criterio de aceptación</t>
  </si>
  <si>
    <t xml:space="preserve">Prueba que lo verifica</t>
  </si>
  <si>
    <t xml:space="preserve">Vínculo SQAP</t>
  </si>
  <si>
    <t xml:space="preserve">Dado un usuario con credenciales válidas, cuando inicia sesión, entonces entra a la pantalla de inicio de su rol y solo ve las opciones de ese rol.</t>
  </si>
  <si>
    <t xml:space="preserve">Cypress</t>
  </si>
  <si>
    <t xml:space="preserve">RNF-04</t>
  </si>
  <si>
    <t xml:space="preserve">Dado un usuario sin rol Profesor, cuando envía una petición a cualquier ruta de escritura de notas, entonces recibe HTTP 403 y no se modifica ningún dato.</t>
  </si>
  <si>
    <t xml:space="preserve">Jest + Supertest (e2e)</t>
  </si>
  <si>
    <t xml:space="preserve">Dado 5 intentos fallidos seguidos con la misma cuenta, cuando intenta un sexto, entonces el sistema bloquea el inicio de sesión durante 15 minutos.</t>
  </si>
  <si>
    <t xml:space="preserve">Dado un usuario autenticado sin actividad, cuando pasan 30 minutos, entonces la sesión expira y debe iniciar sesión otra vez.</t>
  </si>
  <si>
    <t xml:space="preserve">Dado el rol Secretaria, cuando registra un curso con paralelo y gestión, entonces el curso queda disponible para asignarle materias y estudiantes.</t>
  </si>
  <si>
    <t xml:space="preserve">Dado un profesor asignado a dos materias, cuando inicia sesión, entonces ve solo esas dos materias.</t>
  </si>
  <si>
    <t xml:space="preserve">Dado un estudiante inscrito en un curso de la gestión, cuando se lo intenta inscribir en otro curso de la misma gestión, entonces el sistema lo rechaza con un mensaje.</t>
  </si>
  <si>
    <t xml:space="preserve">Jest (unitaria)</t>
  </si>
  <si>
    <t xml:space="preserve">Dado un trimestre marcado como cerrado, cuando un profesor intenta registrar o corregir una nota en él, entonces el sistema lo impide.</t>
  </si>
  <si>
    <t xml:space="preserve">Dado el registro de la unidad educativa, cuando se guarda, entonces incluye nombre, código SIE, nivel (Inicial, Primaria o Secundaria), año de escolaridad y paralelo, que luego aparecen en boletines y centralizadores.</t>
  </si>
  <si>
    <t xml:space="preserve">Dado el rol Administrador, cuando configura la gestión, entonces registra las dimensiones de evaluación y su puntaje máximo según la resolución vigente (2026: Ser 10, Saber 45, Hacer 40, Autoevaluación 5) y el sistema exige que sumen 100.</t>
  </si>
  <si>
    <t xml:space="preserve">RNF-01</t>
  </si>
  <si>
    <t xml:space="preserve">Dado un trimestre de la gestión que ya tiene notas registradas, cuando alguien intenta cambiar los puntajes de las dimensiones, entonces el sistema lo impide.</t>
  </si>
  <si>
    <t xml:space="preserve">Dado un profesor en una materia asignada y un trimestre abierto, cuando registra la nota de una actividad dentro de una dimensión (Ser, Saber, Hacer o Autoevaluación) en la escala de 1 a 100, entonces la nota se guarda y aparece en la planilla.</t>
  </si>
  <si>
    <t xml:space="preserve">Dado un valor fuera de 1 a 100 (no se admite 0; una actividad no presentada se registra con 1, decisión D1), vacío o no numérico, cuando intenta guardar, entonces aparece un mensaje junto al campo y no se guarda nada.</t>
  </si>
  <si>
    <t xml:space="preserve">M01</t>
  </si>
  <si>
    <t xml:space="preserve">Dado una planilla con las notas de todos los estudiantes de la materia (hasta 60), cuando guarda, entonces se guardan todas o ninguna (una sola transacción).</t>
  </si>
  <si>
    <t xml:space="preserve">RNF-02</t>
  </si>
  <si>
    <t xml:space="preserve">Dado 100 profesores registrando notas al mismo tiempo durante 10 minutos, cuando se mide en staging, entonces la tasa de error es menor que 1 %.</t>
  </si>
  <si>
    <t xml:space="preserve">JMeter</t>
  </si>
  <si>
    <t xml:space="preserve">M04</t>
  </si>
  <si>
    <t xml:space="preserve">Dado las notas de las actividades de una dimensión, cuando se calcula, entonces el puntaje de la dimensión es el promedio de esas notas × (puntaje máximo de la dimensión / 100). Ej.: Saber con promedio 80 → 80 × 45/100 = 36 puntos.</t>
  </si>
  <si>
    <t xml:space="preserve">Jest (unitaria, TDD)</t>
  </si>
  <si>
    <t xml:space="preserve">M01, M06</t>
  </si>
  <si>
    <t xml:space="preserve">Dado los puntajes de Ser, Saber, Hacer y Autoevaluación, cuando se calcula la nota del trimestre, entonces es la suma de los cuatro, redondeada al entero más cercano (0,5 hacia arriba), en la escala de 1 a 100.</t>
  </si>
  <si>
    <t xml:space="preserve">M01, RNF-01</t>
  </si>
  <si>
    <t xml:space="preserve">Dado una nota trimestral de 50,5 antes de redondear, cuando se redondea, entonces es 51 y el estudiante figura como aprobado; con 50,4 es 50 y figura como reprobado (nota mínima de aprobación: 51).</t>
  </si>
  <si>
    <t xml:space="preserve">RNF-01, R02</t>
  </si>
  <si>
    <t xml:space="preserve">Dado las notas de los tres trimestres, cuando se calcula la nota anual de la materia, entonces es el promedio de los tres trimestres redondeado al entero, 0,5 hacia arriba (decisiones D2 y D3).</t>
  </si>
  <si>
    <t xml:space="preserve">Dado la tabla de casos de prueba firmada por el cliente (semilla en la hoja Reglas MinEdu), cuando corre la suite, entonces el 100 % de los casos da el resultado esperado.</t>
  </si>
  <si>
    <t xml:space="preserve">M01, R02</t>
  </si>
  <si>
    <t xml:space="preserve">Dado una dimensión que todavía no tiene actividades con nota, cuando se calcula la nota parcial del trimestre, entonces la nota trimestral se muestra como "pendiente" e indica qué dimensiones faltan (decisión D4).</t>
  </si>
  <si>
    <t xml:space="preserve">Dado una nota registrada, cuando el profesor la corrige, entonces el sistema exige un motivo y guarda quién la cambió, la fecha y hora, el valor anterior y el nuevo.</t>
  </si>
  <si>
    <t xml:space="preserve">Dado el registro de auditoría, cuando cualquier usuario intenta editarlo o borrarlo, entonces el sistema no lo permite (solo lectura).</t>
  </si>
  <si>
    <t xml:space="preserve">Dado una corrección guardada, cuando termina, entonces el promedio afectado se recalcula en la misma transacción.</t>
  </si>
  <si>
    <t xml:space="preserve">Dado un estudiante con notas en varios trimestres, cuando el profesor abre su historial, entonces ve las notas y promedios de cada trimestre en orden cronológico.</t>
  </si>
  <si>
    <t xml:space="preserve">Dado un estudiante que no cursa ninguna materia del profesor, cuando el profesor intenta abrir su historial, entonces recibe HTTP 403.</t>
  </si>
  <si>
    <t xml:space="preserve">Dado una clase de su materia, cuando el profesor marca a cada estudiante como presente, ausente o con licencia, entonces se guarda la asistencia de esa fecha.</t>
  </si>
  <si>
    <t xml:space="preserve">Dado las asistencias registradas, cuando se calcula el porcentaje, entonces es (presentes + licencias) / clases dictadas × 100, redondeado a un decimal (decisión D5).</t>
  </si>
  <si>
    <t xml:space="preserve">Dado una fecha futura, cuando el profesor intenta registrar asistencia, entonces el sistema lo impide.</t>
  </si>
  <si>
    <t xml:space="preserve">Dado un archivo .xlsx con la plantilla del sistema, cuando el profesor lo sube, entonces ve una vista previa con las filas válidas y las filas con error antes de confirmar.</t>
  </si>
  <si>
    <t xml:space="preserve">Dado una fila con un estudiante que no existe o una nota fuera de 0 a 100, cuando se importa, entonces esa fila se rechaza con su motivo y no se guarda.</t>
  </si>
  <si>
    <t xml:space="preserve">Dado una importación confirmada, cuando termina, entonces cada nota importada queda en la auditoría con origen "importación".</t>
  </si>
  <si>
    <t xml:space="preserve">Dado un trimestre en curso, cuando la secretaria abre el control, entonces ve por curso cada materia con su profesor y su estado Entregado o Pendiente.</t>
  </si>
  <si>
    <t xml:space="preserve">Dado una materia, cuando el profesor la marca como entregada, entonces solo se acepta si todos los estudiantes tienen nota en todas las actividades.</t>
  </si>
  <si>
    <t xml:space="preserve">Dado un curso del profesor, cuando abre el panel, entonces ve a cada estudiante con su promedio actual y su porcentaje de asistencia.</t>
  </si>
  <si>
    <t xml:space="preserve">Dado un estudiante con promedio menor que 51 o asistencia menor que 80 % (umbral configurable por gestión, decisión D6), cuando se muestra el panel, entonces aparece marcado como "en riesgo".</t>
  </si>
  <si>
    <t xml:space="preserve">Dado un estudiante, cuando el profesor genera su boletín, entonces el PDF muestra la unidad educativa, el código SIE, el nivel, el año de escolaridad y el paralelo, y por cada materia la nota de cada trimestre, la nota anual y el porcentaje de asistencia, iguales a los que muestra el sistema.</t>
  </si>
  <si>
    <t xml:space="preserve">Jest + Supertest (e2e) + Cypress</t>
  </si>
  <si>
    <t xml:space="preserve">Dado 100 usuarios concurrentes durante 10 minutos en staging, cuando se genera el boletín de un estudiante, entonces el p95 es ≤ 2000 ms y la tasa de error &lt; 1 %.</t>
  </si>
  <si>
    <t xml:space="preserve">M03, RNF-03</t>
  </si>
  <si>
    <t xml:space="preserve">Dado un curso de más de 50 estudiantes, cuando se generan todos los boletines, entonces se procesan en una cola y el profesor recibe un aviso al terminar.</t>
  </si>
  <si>
    <t xml:space="preserve">R05, CAL-001</t>
  </si>
  <si>
    <t xml:space="preserve">Dado la secretaria, cuando vincula una cuenta de padre con uno o más estudiantes, entonces el padre ve solo a esos estudiantes.</t>
  </si>
  <si>
    <t xml:space="preserve">Dado un padre, cuando intenta ver los datos de un estudiante no vinculado (por ejemplo, cambiando el ID en la URL), entonces recibe HTTP 403.</t>
  </si>
  <si>
    <t xml:space="preserve">Dado un boletín publicado, cuando el padre lo consulta, entonces puede verlo y descargarlo en PDF.</t>
  </si>
  <si>
    <t xml:space="preserve">Dado un boletín que el profesor aún no publicó, cuando el padre entra, entonces no lo ve.</t>
  </si>
  <si>
    <t xml:space="preserve">Dado el cierre del trimestre con todas las materias entregadas, cuando la secretaria ejecuta la centralización, entonces obtiene la planilla consolidada de cada curso con todas sus materias.</t>
  </si>
  <si>
    <t xml:space="preserve">Dado la planilla consolidada, cuando se exporta a PDF o Excel, entonces sigue el formato de la planilla oficial: encabezado (unidad educativa, código SIE, nivel, año de escolaridad, paralelo, gestión), una fila por estudiante (N.º, apellidos y nombres, nota de cada trimestre, observaciones) y espacio para la firma del director(a) y del maestro(a).</t>
  </si>
  <si>
    <t xml:space="preserve">Dado una o más materias pendientes, cuando la secretaria intenta centralizar, entonces el sistema lista las pendientes y no cierra el trimestre.</t>
  </si>
  <si>
    <t xml:space="preserve">Dado un estudiante con promedio ≥ 51, cuando una nueva nota lo deja por debajo de 51, entonces el profesor recibe un aviso en el sistema y un correo en 5 minutos o menos.</t>
  </si>
  <si>
    <t xml:space="preserve">Dado una alerta ya enviada, cuando el promedio sigue por debajo de 51, entonces no se repite hasta que el estudiante vuelva a superar el mínimo.</t>
  </si>
  <si>
    <t xml:space="preserve">Dado un boletín recién publicado, cuando termina la publicación, entonces cada padre vinculado recibe un correo en 15 minutos o menos.</t>
  </si>
  <si>
    <t xml:space="preserve">Fuera de v1.0: los criterios se escriben al planificar la Release 2.</t>
  </si>
  <si>
    <t xml:space="preserve">Sistema de evaluación del Ministerio de Educación (Subsistema de Educación Regular)</t>
  </si>
  <si>
    <t xml:space="preserve">Reglas que el cálculo de US-02 debe implementar. Las celdas amarillas son parámetros por gestión: se configuran en el sistema (US-18), no se programan fijos.</t>
  </si>
  <si>
    <t xml:space="preserve">Regla</t>
  </si>
  <si>
    <t xml:space="preserve">Valor 2026</t>
  </si>
  <si>
    <t xml:space="preserve">Fuente</t>
  </si>
  <si>
    <t xml:space="preserve">Periodos de evaluación</t>
  </si>
  <si>
    <t xml:space="preserve">3 trimestres</t>
  </si>
  <si>
    <t xml:space="preserve">Reglamento de evaluación RM 0190/2024 (evaluación al cierre del 1.er, 2.º y 3.er trimestre)</t>
  </si>
  <si>
    <t xml:space="preserve">Confirmado</t>
  </si>
  <si>
    <t xml:space="preserve">Escala de calificación</t>
  </si>
  <si>
    <t xml:space="preserve">1 a 100 (sin 0)</t>
  </si>
  <si>
    <t xml:space="preserve">Ministerio de Educación, vigente desde 2013</t>
  </si>
  <si>
    <t xml:space="preserve">Decidido (D1)</t>
  </si>
  <si>
    <t xml:space="preserve">Nota mínima de aprobación</t>
  </si>
  <si>
    <t xml:space="preserve">Dimensión Ser (puntaje máximo)</t>
  </si>
  <si>
    <t xml:space="preserve">RM 001/2026 (5 de enero de 2026). Absorbe a la antigua dimensión Decidir.</t>
  </si>
  <si>
    <t xml:space="preserve">Dimensión Saber (puntaje máximo)</t>
  </si>
  <si>
    <t xml:space="preserve">RM 001/2026</t>
  </si>
  <si>
    <t xml:space="preserve">Dimensión Hacer (puntaje máximo)</t>
  </si>
  <si>
    <t xml:space="preserve">Autoevaluación (puntaje máximo)</t>
  </si>
  <si>
    <t xml:space="preserve">Nota anual de la materia</t>
  </si>
  <si>
    <t xml:space="preserve">Promedio de los 3 trimestres</t>
  </si>
  <si>
    <t xml:space="preserve">Práctica habitual; no se encontró el texto oficial</t>
  </si>
  <si>
    <t xml:space="preserve">Decidido (D3)</t>
  </si>
  <si>
    <t xml:space="preserve">Suma de dimensiones (debe ser 100)</t>
  </si>
  <si>
    <t xml:space="preserve">Casos de ejemplo del cálculo (semilla de la tabla que firma el cliente, riesgo R02)</t>
  </si>
  <si>
    <t xml:space="preserve">Caso</t>
  </si>
  <si>
    <t xml:space="preserve">Prom. Ser (1-100)</t>
  </si>
  <si>
    <t xml:space="preserve">Prom. Saber (1-100)</t>
  </si>
  <si>
    <t xml:space="preserve">Prom. Hacer (1-100)</t>
  </si>
  <si>
    <t xml:space="preserve">Prom. Autoev. (1-100)</t>
  </si>
  <si>
    <t xml:space="preserve">Puntos Ser</t>
  </si>
  <si>
    <t xml:space="preserve">Puntos Saber</t>
  </si>
  <si>
    <t xml:space="preserve">Puntos Hacer</t>
  </si>
  <si>
    <t xml:space="preserve">Puntos Autoev.</t>
  </si>
  <si>
    <t xml:space="preserve">Nota sin redondear</t>
  </si>
  <si>
    <t xml:space="preserve">Nota trimestral</t>
  </si>
  <si>
    <t xml:space="preserve">Resultado</t>
  </si>
  <si>
    <t xml:space="preserve">Caso típico</t>
  </si>
  <si>
    <t xml:space="preserve">Frontera: 50,5 se redondea a 51 (aprueba)</t>
  </si>
  <si>
    <t xml:space="preserve">Frontera: 50,4 se redondea a 50 (reprueba)</t>
  </si>
  <si>
    <t xml:space="preserve">Todo al máximo</t>
  </si>
  <si>
    <t xml:space="preserve">Todo al mínimo de la escala</t>
  </si>
  <si>
    <t xml:space="preserve">Fuentes: RM 001/2026 (minedu.gob.bo, 5 de enero de 2026; Red Uno y Urgente.bo, enero 2026); reglamento RM 0190/2024 (El Diario, 29 de marzo de 2024); escala 1 a 100 y aprobación con 51 (eju.tv, noviembre de 2012). Verificar contra el texto oficial antes de firmar la tabla.</t>
  </si>
  <si>
    <t xml:space="preserve">Hallazgos de la revisión del backlog</t>
  </si>
  <si>
    <t xml:space="preserve">Hallazgo</t>
  </si>
  <si>
    <t xml:space="preserve">Dónde</t>
  </si>
  <si>
    <t xml:space="preserve">Por qué importa</t>
  </si>
  <si>
    <t xml:space="preserve">Qué se hizo en esta versión</t>
  </si>
  <si>
    <t xml:space="preserve">No hay historia de inicio de sesión ni de roles.</t>
  </si>
  <si>
    <t xml:space="preserve">Todo el backlog</t>
  </si>
  <si>
    <t xml:space="preserve">RNF-04 y la métrica M09 dependen de que existan roles; sin esto no hay forma de que "solo el docente modifique sus notas".</t>
  </si>
  <si>
    <t xml:space="preserve">Se propone US-17 (Sprint 1).</t>
  </si>
  <si>
    <t xml:space="preserve">No hay historia para registrar cursos, materias, estudiantes, trimestres ni la asignación profesor–materia.</t>
  </si>
  <si>
    <t xml:space="preserve">US-01 no se puede construir sin esos datos base.</t>
  </si>
  <si>
    <t xml:space="preserve">Se propone US-18 (Sprint 1).</t>
  </si>
  <si>
    <t xml:space="preserve">Ninguna historia registra la asistencia.</t>
  </si>
  <si>
    <t xml:space="preserve">US-06, US-07</t>
  </si>
  <si>
    <t xml:space="preserve">Ambas muestran el porcentaje de asistencia, que nadie registra.</t>
  </si>
  <si>
    <t xml:space="preserve">Se propone US-19 (Sprint 2).</t>
  </si>
  <si>
    <t xml:space="preserve">Nada define qué padre ve a qué estudiante.</t>
  </si>
  <si>
    <t xml:space="preserve">US-11, US-12, US-13</t>
  </si>
  <si>
    <t xml:space="preserve">Son datos de menores de edad: un padre podría ver la información de otro estudiante.</t>
  </si>
  <si>
    <t xml:space="preserve">Se propone US-20 (Sprint 3).</t>
  </si>
  <si>
    <t xml:space="preserve">Las historias no tienen criterios de aceptación.</t>
  </si>
  <si>
    <t xml:space="preserve">Todas</t>
  </si>
  <si>
    <t xml:space="preserve">El SQAP (Sección 7) los exige como criterio de entrada; sin ellos no hay pruebas que escribir ni forma de decir "Hecho".</t>
  </si>
  <si>
    <t xml:space="preserve">Nueva hoja Criterios de aceptación.</t>
  </si>
  <si>
    <t xml:space="preserve">El backlog estaba ordenado por ROI ascendente.</t>
  </si>
  <si>
    <t xml:space="preserve">Un product backlog se ordena por prioridad: lo más importante arriba.</t>
  </si>
  <si>
    <t xml:space="preserve">Ordenado por sprint y luego por prioridad.</t>
  </si>
  <si>
    <t xml:space="preserve">El plan tenía 8 sprints; el equipo trabaja en 4.</t>
  </si>
  <si>
    <t xml:space="preserve">Columna Iteración</t>
  </si>
  <si>
    <t xml:space="preserve">Con 2 personas, el backlog completo (incluidas las historias nuevas) no cabe en 4 sprints.</t>
  </si>
  <si>
    <t xml:space="preserve">Re-planificado en 4 sprints; el módulo de pagos se propone para una versión posterior (ver hoja Plan de sprints).</t>
  </si>
  <si>
    <t xml:space="preserve">El módulo de pagos eleva el nivel de integridad.</t>
  </si>
  <si>
    <t xml:space="preserve">US-13 a US-16</t>
  </si>
  <si>
    <t xml:space="preserve">Según IEEE 1012 y la guía de la Práctica 7, pagos y datos personales sensibles son nivel 3; exigiría un SQAP más estricto.</t>
  </si>
  <si>
    <t xml:space="preserve">Fuera de v1.0, a negociar con el docente.</t>
  </si>
  <si>
    <t xml:space="preserve">Reglas de negocio sin definir.</t>
  </si>
  <si>
    <t xml:space="preserve">US-02, US-06, US-19</t>
  </si>
  <si>
    <t xml:space="preserve">Redondeo, actividades sin notas, licencias en la asistencia y umbral de riesgo no están escritos; es el riesgo R02 del SQAP.</t>
  </si>
  <si>
    <t xml:space="preserve">Marcadas con ❓ en los criterios; validar con el cliente en la semana 1.</t>
  </si>
  <si>
    <t xml:space="preserve">Canal de notificación sin definir.</t>
  </si>
  <si>
    <t xml:space="preserve">US-08, US-12, US-15</t>
  </si>
  <si>
    <t xml:space="preserve">No se puede estimar ni probar una alerta sin saber si es correo, aviso en el sistema o WhatsApp.</t>
  </si>
  <si>
    <t xml:space="preserve">Propuesta: correo + aviso en el sistema.</t>
  </si>
  <si>
    <t xml:space="preserve">Escala de Puntos Valor mixta (10 no es de Fibonacci).</t>
  </si>
  <si>
    <t xml:space="preserve">US-03, US-06</t>
  </si>
  <si>
    <t xml:space="preserve">Mezclar escalas hace que el ROI compare cosas distintas.</t>
  </si>
  <si>
    <t xml:space="preserve">Se dejó igual (backlog aprobado); se sugiere usar 1, 2, 3, 5, 8, 13.</t>
  </si>
  <si>
    <t xml:space="preserve">Valores marcados "(Valores estimados)".</t>
  </si>
  <si>
    <t xml:space="preserve">Varias historias</t>
  </si>
  <si>
    <t xml:space="preserve">No están validados con el dueño del producto; el ROI y la prioridad pueden cambiar.</t>
  </si>
  <si>
    <t xml:space="preserve">Se mantiene la nota; validar en la revisión del backlog del Sprint 1.</t>
  </si>
  <si>
    <t xml:space="preserve">Terminología mezclada: profesor/docente, nota/calificación, trimestre/periodo/gestión, boletín/historial.</t>
  </si>
  <si>
    <t xml:space="preserve">Backlog y SQAP</t>
  </si>
  <si>
    <t xml:space="preserve">El SQAP, el código y las pruebas deben usar los mismos términos.</t>
  </si>
  <si>
    <t xml:space="preserve">Se unificará en el glosario del SQAP (Sección 15).</t>
  </si>
  <si>
    <t xml:space="preserve">El SQAP dice roles Docente y Administrador; el backlog usa Profesor, Secretaria y Padre de familia.</t>
  </si>
  <si>
    <t xml:space="preserve">SQAP Sección 1</t>
  </si>
  <si>
    <t xml:space="preserve">El plan no es trazable al backlog aprobado.</t>
  </si>
  <si>
    <t xml:space="preserve">Se actualizará el SQAP a partir de este backlog.</t>
  </si>
  <si>
    <t xml:space="preserve">US-02 dice "según la ponderación que yo defina", pero en Bolivia la fija el Ministerio por dimensión.</t>
  </si>
  <si>
    <t xml:space="preserve">US-02 y SQAP (RNF-01)</t>
  </si>
  <si>
    <t xml:space="preserve">RM 001/2026: Ser 10, Saber 45, Hacer 40, Autoevaluación 5. Un sistema que deja al profesor cambiar esos pesos produce notas que no valen oficialmente.</t>
  </si>
  <si>
    <t xml:space="preserve">Criterios de US-02 y US-18 reescritos; los puntajes se configuran por gestión porque cambian (en 2024 había Decidir 5).</t>
  </si>
  <si>
    <t xml:space="preserve">La planilla modelo (2019) es bimestral; desde 2020 la evaluación es trimestral.</t>
  </si>
  <si>
    <t xml:space="preserve">Modelo-Registro-Calificaciones</t>
  </si>
  <si>
    <t xml:space="preserve">Si se copia tal cual, el sistema tendría 3 bimestres en vez de 3 trimestres.</t>
  </si>
  <si>
    <t xml:space="preserve">Se toma su estructura (encabezado, filas, firmas) pero con trimestres.</t>
  </si>
  <si>
    <t xml:space="preserve">La planilla oficial exige datos que el backlog no guardaba: código SIE, nivel, año de escolaridad, paralelo y firma del director(a).</t>
  </si>
  <si>
    <t xml:space="preserve">US-07, US-09, US-18</t>
  </si>
  <si>
    <t xml:space="preserve">Sin esos datos el boletín y el centralizador no se pueden entregar.</t>
  </si>
  <si>
    <t xml:space="preserve">Agregados a los criterios de US-18, US-07 y US-09.</t>
  </si>
  <si>
    <t xml:space="preserve">El plazo es de 4 semanas: cada sprint dura 1 semana.</t>
  </si>
  <si>
    <t xml:space="preserve">Plan de sprints</t>
  </si>
  <si>
    <t xml:space="preserve">20 puntos por semana con 2 personas es exigente; si la velocidad real es menor, no se termina el Sprint 4.</t>
  </si>
  <si>
    <t xml:space="preserve">Duración = 1 semana; regla de recorte: primero US-08 y US-12 (prioridad BAJA).</t>
  </si>
  <si>
    <t xml:space="preserve">Pila de Producto (Product Backlog): Instructivo</t>
  </si>
  <si>
    <t xml:space="preserve">Columna</t>
  </si>
  <si>
    <t xml:space="preserve">Instrucciones</t>
  </si>
  <si>
    <t xml:space="preserve">Código que identifica a la historia de forma unívoca, una vez asignado, no debe ser re-usado en otra historia, ni siquiera si la historia es descartada. El código identifica la historia en otros documentos, como por ejemplo la plantilla de historias de usuario.</t>
  </si>
  <si>
    <t xml:space="preserve">Nombre de la historia, el cual debe ser el mismo que se utiliza en otros documentos. Se puede utilizar el formato siguiente:
Como [Rol], Quiero [Descripción de la Funcionalidad], para [Razón o Resultado]
</t>
  </si>
  <si>
    <t xml:space="preserve">Título de la historia alternativo a la descripción, que servirá para identificar más fácilmente la historia sin tener que repetir todo su enunciado. Se puede utilizar por ejemplo el nombre de la funcionalidad o requerimiento que se pretende desarrollar.</t>
  </si>
  <si>
    <t xml:space="preserve">Identifica los posibles estados de la historia durante su ciclo de vida:
- Vacío: La historia fue identifica pero aún no ha sido asignada a una iteración.
- Planificada: La historia fue asignada a una iteración y aún no ha comenzado su ejecución. Puede tener este estado incluyendo en la iteración donde está planificado ejecutarla (pero que aún no ha comenzado).
- En Proceso: La historia fue seleccionada por el equipo y está en proceso de desarrollo (en ejecución).
- Hecho (Donde): La historia fue desarrollada. Es importante clarificar la definición de “Hecho” con el equipo de trabajo. “Hecho” no sólo incluye el desarrollo sino la integración y pruebas integrales del Software. Una historia hecha puede presentarse al dueño de producto para sus pruebas de aceptación.
- Descartada: Se determinó que la historia ya no es relevante, su contenido se incluyó en otro grupo de historias o fue cancelada.
</t>
  </si>
  <si>
    <t xml:space="preserve">Medida del Valor para el dueño del producto</t>
  </si>
  <si>
    <t xml:space="preserve">Puntos Historia (Esfuerzo)</t>
  </si>
  <si>
    <t xml:space="preserve">Medida del esfuerzo (tamaño) que implica desarrollar la historia, existen distintos métodos para medirlo, un ejemplo es los “puntos de historia” una medida de complejidad no necesariamente relacionado con jornadas o días. Otra forma de medirlo es con días o jornadas ideales.</t>
  </si>
  <si>
    <t xml:space="preserve">Retorno de la inversion PuntosValor /Puntos Historia , sirve para priorizar el desarrollo</t>
  </si>
  <si>
    <t xml:space="preserve">Iteración o Sprint al que se asigna la historia. Esta asignación puede cambiar en cada iteración donde se haga la revisión de la pila de producto (ProductBacklogReview), según las prioridades indicadas por el dueño de producto. Por medio de este campo se puede crear un “Plan de Salidas a Productivo” (Release Plan).</t>
  </si>
  <si>
    <t xml:space="preserve">Siguiendo el marco de trabajo ágil y Scrum, se le deben asignar prioridades a las historias, según las instrucciones del dueño de producto (ProductOwner). De esta forma pueden ordenarse. Las historias de mayor prioridad deben ser las que agregan más valor al negocio, y deben ser originadas en sus necesidades.</t>
  </si>
  <si>
    <t xml:space="preserve">Comentarios o detalles relacionadas que expliquen la historia. Para definiciones de mayor longitud deben usarse documentos externos, por ejemplo la plantilla de historias de usuario.</t>
  </si>
</sst>
</file>

<file path=xl/styles.xml><?xml version="1.0" encoding="utf-8"?>
<styleSheet xmlns="http://schemas.openxmlformats.org/spreadsheetml/2006/main">
  <numFmts count="2">
    <numFmt numFmtId="164" formatCode="General"/>
    <numFmt numFmtId="165" formatCode="0.00"/>
  </numFmts>
  <fonts count="13">
    <font>
      <sz val="11"/>
      <color theme="1"/>
      <name val="Calibri"/>
      <family val="0"/>
      <charset val="1"/>
    </font>
    <font>
      <sz val="10"/>
      <name val="Arial"/>
      <family val="0"/>
    </font>
    <font>
      <sz val="10"/>
      <name val="Arial"/>
      <family val="0"/>
    </font>
    <font>
      <sz val="10"/>
      <name val="Arial"/>
      <family val="0"/>
    </font>
    <font>
      <b val="true"/>
      <sz val="28"/>
      <color theme="1"/>
      <name val="Calibri"/>
      <family val="0"/>
      <charset val="1"/>
    </font>
    <font>
      <b val="true"/>
      <sz val="16"/>
      <color rgb="FF1F497D"/>
      <name val="Calibri"/>
      <family val="0"/>
      <charset val="1"/>
    </font>
    <font>
      <sz val="11"/>
      <color theme="0"/>
      <name val="Calibri"/>
      <family val="0"/>
      <charset val="1"/>
    </font>
    <font>
      <b val="true"/>
      <sz val="11"/>
      <name val="Calibri"/>
      <family val="0"/>
      <charset val="1"/>
    </font>
    <font>
      <b val="true"/>
      <sz val="14"/>
      <name val="Calibri"/>
      <family val="0"/>
      <charset val="1"/>
    </font>
    <font>
      <b val="true"/>
      <sz val="11"/>
      <color rgb="FFFFFFFF"/>
      <name val="Calibri"/>
      <family val="0"/>
      <charset val="1"/>
    </font>
    <font>
      <sz val="10"/>
      <name val="Calibri"/>
      <family val="0"/>
      <charset val="1"/>
    </font>
    <font>
      <b val="true"/>
      <sz val="10"/>
      <name val="Calibri"/>
      <family val="0"/>
      <charset val="1"/>
    </font>
    <font>
      <b val="true"/>
      <sz val="12"/>
      <name val="Calibri"/>
      <family val="0"/>
      <charset val="1"/>
    </font>
  </fonts>
  <fills count="8">
    <fill>
      <patternFill patternType="none"/>
    </fill>
    <fill>
      <patternFill patternType="gray125"/>
    </fill>
    <fill>
      <patternFill patternType="solid">
        <fgColor theme="0"/>
        <bgColor rgb="FFEDEDED"/>
      </patternFill>
    </fill>
    <fill>
      <patternFill patternType="solid">
        <fgColor rgb="FF1F497D"/>
        <bgColor rgb="FF003366"/>
      </patternFill>
    </fill>
    <fill>
      <patternFill patternType="solid">
        <fgColor rgb="FFFFF2CC"/>
        <bgColor rgb="FFFCE4D6"/>
      </patternFill>
    </fill>
    <fill>
      <patternFill patternType="solid">
        <fgColor rgb="FFEDEDED"/>
        <bgColor rgb="FFFCE4D6"/>
      </patternFill>
    </fill>
    <fill>
      <patternFill patternType="solid">
        <fgColor rgb="FFFFFF00"/>
        <bgColor rgb="FFFFFF00"/>
      </patternFill>
    </fill>
    <fill>
      <patternFill patternType="solid">
        <fgColor rgb="FFFCE4D6"/>
        <bgColor rgb="FFFFF2CC"/>
      </patternFill>
    </fill>
  </fills>
  <borders count="3">
    <border diagonalUp="false" diagonalDown="false">
      <left/>
      <right/>
      <top/>
      <bottom/>
      <diagonal/>
    </border>
    <border diagonalUp="false" diagonalDown="false">
      <left style="thin"/>
      <right style="thin"/>
      <top style="thin"/>
      <bottom style="thin"/>
      <diagonal/>
    </border>
    <border diagonalUp="false" diagonalDown="false">
      <left style="thin">
        <color rgb="FFA6A6A6"/>
      </left>
      <right style="thin">
        <color rgb="FFA6A6A6"/>
      </right>
      <top style="thin">
        <color rgb="FFA6A6A6"/>
      </top>
      <bottom style="thin">
        <color rgb="FFA6A6A6"/>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0" fillId="2"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bottom" textRotation="0" wrapText="false" indent="0" shrinkToFit="false"/>
      <protection locked="true" hidden="false"/>
    </xf>
    <xf numFmtId="164" fontId="5" fillId="2" borderId="0" xfId="0" applyFont="true" applyBorder="false" applyAlignment="true" applyProtection="false">
      <alignment horizontal="general" vertical="bottom" textRotation="0" wrapText="false" indent="0" shrinkToFit="false"/>
      <protection locked="true" hidden="false"/>
    </xf>
    <xf numFmtId="164" fontId="6" fillId="3" borderId="1" xfId="0" applyFont="true" applyBorder="true" applyAlignment="true" applyProtection="false">
      <alignment horizontal="center" vertical="center" textRotation="0" wrapText="true" indent="0" shrinkToFit="false"/>
      <protection locked="true" hidden="false"/>
    </xf>
    <xf numFmtId="164" fontId="0" fillId="2" borderId="0" xfId="0" applyFont="false" applyBorder="false" applyAlignment="true" applyProtection="false">
      <alignment horizontal="general" vertical="center" textRotation="0" wrapText="false" indent="0" shrinkToFit="false"/>
      <protection locked="true" hidden="false"/>
    </xf>
    <xf numFmtId="164" fontId="0" fillId="4" borderId="1" xfId="0" applyFont="true" applyBorder="true" applyAlignment="true" applyProtection="false">
      <alignment horizontal="center" vertical="center" textRotation="0" wrapText="true" indent="0" shrinkToFit="false"/>
      <protection locked="true" hidden="false"/>
    </xf>
    <xf numFmtId="164" fontId="0" fillId="4" borderId="1" xfId="0" applyFont="true" applyBorder="true" applyAlignment="true" applyProtection="false">
      <alignment horizontal="left" vertical="center" textRotation="0" wrapText="true" indent="0" shrinkToFit="false"/>
      <protection locked="true" hidden="false"/>
    </xf>
    <xf numFmtId="165" fontId="0" fillId="4" borderId="1" xfId="0" applyFont="false" applyBorder="true" applyAlignment="true" applyProtection="false">
      <alignment horizontal="left" vertical="center" textRotation="0" wrapText="true" indent="0" shrinkToFit="false"/>
      <protection locked="true" hidden="false"/>
    </xf>
    <xf numFmtId="164" fontId="0" fillId="2" borderId="1" xfId="0" applyFont="true" applyBorder="true" applyAlignment="true" applyProtection="false">
      <alignment horizontal="center" vertical="center" textRotation="0" wrapText="true" indent="0" shrinkToFit="false"/>
      <protection locked="true" hidden="false"/>
    </xf>
    <xf numFmtId="164" fontId="0" fillId="2" borderId="1" xfId="0" applyFont="true" applyBorder="true" applyAlignment="true" applyProtection="false">
      <alignment horizontal="left" vertical="center" textRotation="0" wrapText="true" indent="0" shrinkToFit="false"/>
      <protection locked="true" hidden="false"/>
    </xf>
    <xf numFmtId="165" fontId="0" fillId="2" borderId="1" xfId="0" applyFont="false" applyBorder="true" applyAlignment="true" applyProtection="false">
      <alignment horizontal="left" vertical="center" textRotation="0" wrapText="true" indent="0" shrinkToFit="false"/>
      <protection locked="true" hidden="false"/>
    </xf>
    <xf numFmtId="164" fontId="0" fillId="5" borderId="1" xfId="0" applyFont="true" applyBorder="true" applyAlignment="true" applyProtection="false">
      <alignment horizontal="center" vertical="center" textRotation="0" wrapText="true" indent="0" shrinkToFit="false"/>
      <protection locked="true" hidden="false"/>
    </xf>
    <xf numFmtId="164" fontId="0" fillId="5" borderId="1" xfId="0" applyFont="true" applyBorder="true" applyAlignment="true" applyProtection="false">
      <alignment horizontal="left" vertical="center" textRotation="0" wrapText="true" indent="0" shrinkToFit="false"/>
      <protection locked="true" hidden="false"/>
    </xf>
    <xf numFmtId="165" fontId="0" fillId="5" borderId="1" xfId="0" applyFont="false" applyBorder="true" applyAlignment="true" applyProtection="false">
      <alignment horizontal="left" vertical="center" textRotation="0" wrapText="true" indent="0" shrinkToFit="false"/>
      <protection locked="true" hidden="false"/>
    </xf>
    <xf numFmtId="164" fontId="7" fillId="2" borderId="0" xfId="0" applyFont="true" applyBorder="false" applyAlignment="true" applyProtection="false">
      <alignment horizontal="general" vertical="bottom" textRotation="0" wrapText="false" indent="0" shrinkToFit="false"/>
      <protection locked="true" hidden="false"/>
    </xf>
    <xf numFmtId="164" fontId="0" fillId="2"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0" fillId="6" borderId="0" xfId="0" applyFont="false" applyBorder="false" applyAlignment="true" applyProtection="false">
      <alignment horizontal="general" vertical="bottom" textRotation="0" wrapText="false" indent="0" shrinkToFit="false"/>
      <protection locked="true" hidden="false"/>
    </xf>
    <xf numFmtId="164" fontId="9" fillId="3" borderId="2" xfId="0" applyFont="true" applyBorder="true" applyAlignment="true" applyProtection="false">
      <alignment horizontal="general" vertical="center" textRotation="0" wrapText="true" indent="0" shrinkToFit="false"/>
      <protection locked="true" hidden="false"/>
    </xf>
    <xf numFmtId="164" fontId="10" fillId="0" borderId="2" xfId="0" applyFont="true" applyBorder="true" applyAlignment="true" applyProtection="false">
      <alignment horizontal="general" vertical="top" textRotation="0" wrapText="true" indent="0" shrinkToFit="false"/>
      <protection locked="true" hidden="false"/>
    </xf>
    <xf numFmtId="164" fontId="11" fillId="0" borderId="2" xfId="0" applyFont="true" applyBorder="true" applyAlignment="true" applyProtection="false">
      <alignment horizontal="general" vertical="top" textRotation="0" wrapText="true" indent="0" shrinkToFit="false"/>
      <protection locked="true" hidden="false"/>
    </xf>
    <xf numFmtId="164" fontId="9" fillId="3" borderId="2" xfId="0" applyFont="true" applyBorder="true" applyAlignment="tru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general" vertical="top" textRotation="0" wrapText="true" indent="0" shrinkToFit="false"/>
      <protection locked="true" hidden="false"/>
    </xf>
    <xf numFmtId="164" fontId="10" fillId="7" borderId="2" xfId="0" applyFont="true" applyBorder="true" applyAlignment="true" applyProtection="false">
      <alignment horizontal="general" vertical="top" textRotation="0" wrapText="true" indent="0" shrinkToFit="false"/>
      <protection locked="true" hidden="false"/>
    </xf>
    <xf numFmtId="164" fontId="10" fillId="6" borderId="2" xfId="0" applyFont="true" applyBorder="true" applyAlignment="true" applyProtection="false">
      <alignment horizontal="general" vertical="top" textRotation="0" wrapText="tru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4" fontId="6" fillId="3" borderId="1" xfId="0" applyFont="true" applyBorder="true" applyAlignment="true" applyProtection="false">
      <alignment horizontal="general" vertical="bottom" textRotation="0" wrapText="false" indent="0" shrinkToFit="false"/>
      <protection locked="true" hidden="false"/>
    </xf>
    <xf numFmtId="164" fontId="0" fillId="2" borderId="1"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1F497D"/>
          <bgColor rgb="FF000000"/>
        </patternFill>
      </fill>
    </dxf>
    <dxf>
      <fill>
        <patternFill patternType="solid">
          <fgColor rgb="FFFCE4D6"/>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EDEDED"/>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CE4D6"/>
      <rgbColor rgb="FF3366FF"/>
      <rgbColor rgb="FF33CCCC"/>
      <rgbColor rgb="FF99CC00"/>
      <rgbColor rgb="FFFFCC00"/>
      <rgbColor rgb="FFFF9900"/>
      <rgbColor rgb="FFFF6600"/>
      <rgbColor rgb="FF666699"/>
      <rgbColor rgb="FFA6A6A6"/>
      <rgbColor rgb="FF003366"/>
      <rgbColor rgb="FF339966"/>
      <rgbColor rgb="FF003300"/>
      <rgbColor rgb="FF333300"/>
      <rgbColor rgb="FF993300"/>
      <rgbColor rgb="FF993366"/>
      <rgbColor rgb="FF1F497D"/>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14.4453125" defaultRowHeight="15" customHeight="false" zeroHeight="false" outlineLevelRow="0" outlineLevelCol="0"/>
  <cols>
    <col collapsed="false" customWidth="true" hidden="false" outlineLevel="0" max="1" min="1" style="1" width="1.43"/>
    <col collapsed="false" customWidth="true" hidden="false" outlineLevel="0" max="2" min="2" style="1" width="16.43"/>
    <col collapsed="false" customWidth="true" hidden="false" outlineLevel="0" max="3" min="3" style="1" width="89.71"/>
    <col collapsed="false" customWidth="true" hidden="false" outlineLevel="0" max="4" min="4" style="1" width="27.57"/>
    <col collapsed="false" customWidth="true" hidden="false" outlineLevel="0" max="5" min="5" style="1" width="11.15"/>
    <col collapsed="false" customWidth="true" hidden="false" outlineLevel="0" max="6" min="6" style="1" width="9.14"/>
    <col collapsed="false" customWidth="true" hidden="false" outlineLevel="0" max="8" min="7" style="1" width="11.85"/>
    <col collapsed="false" customWidth="true" hidden="false" outlineLevel="0" max="9" min="9" style="1" width="16.14"/>
    <col collapsed="false" customWidth="true" hidden="false" outlineLevel="0" max="10" min="10" style="1" width="17.86"/>
    <col collapsed="false" customWidth="true" hidden="false" outlineLevel="0" max="11" min="11" style="1" width="32.57"/>
    <col collapsed="false" customWidth="true" hidden="false" outlineLevel="0" max="26" min="12" style="1" width="10.71"/>
  </cols>
  <sheetData>
    <row r="1" customFormat="false" ht="33.75" hidden="false" customHeight="true" outlineLevel="0" collapsed="false">
      <c r="A1" s="2"/>
      <c r="B1" s="3" t="s">
        <v>0</v>
      </c>
      <c r="C1" s="2"/>
      <c r="D1" s="2"/>
      <c r="E1" s="2"/>
      <c r="F1" s="2"/>
      <c r="G1" s="2"/>
      <c r="H1" s="2"/>
      <c r="I1" s="2"/>
      <c r="J1" s="2"/>
      <c r="K1" s="2"/>
      <c r="L1" s="2"/>
      <c r="M1" s="2"/>
      <c r="N1" s="2"/>
      <c r="O1" s="2"/>
      <c r="P1" s="2"/>
      <c r="Q1" s="2"/>
      <c r="R1" s="2"/>
      <c r="S1" s="2"/>
      <c r="T1" s="2"/>
      <c r="U1" s="2"/>
      <c r="V1" s="2"/>
      <c r="W1" s="2"/>
      <c r="X1" s="2"/>
      <c r="Y1" s="2"/>
      <c r="Z1" s="2"/>
    </row>
    <row r="2" customFormat="false" ht="19.5" hidden="false" customHeight="true" outlineLevel="0" collapsed="false">
      <c r="A2" s="2"/>
      <c r="B2" s="4"/>
      <c r="C2" s="2"/>
      <c r="D2" s="2"/>
      <c r="E2" s="2"/>
      <c r="F2" s="2"/>
      <c r="G2" s="2"/>
      <c r="H2" s="2"/>
      <c r="I2" s="2"/>
      <c r="J2" s="2"/>
      <c r="K2" s="2"/>
      <c r="L2" s="2"/>
      <c r="M2" s="2"/>
      <c r="N2" s="2"/>
      <c r="O2" s="2"/>
      <c r="P2" s="2"/>
      <c r="Q2" s="2"/>
      <c r="R2" s="2"/>
      <c r="S2" s="2"/>
      <c r="T2" s="2"/>
      <c r="U2" s="2"/>
      <c r="V2" s="2"/>
      <c r="W2" s="2"/>
      <c r="X2" s="2"/>
      <c r="Y2" s="2"/>
      <c r="Z2" s="2"/>
    </row>
    <row r="3" customFormat="false" ht="15" hidden="false" customHeight="true" outlineLevel="0" collapsed="false">
      <c r="A3" s="2"/>
      <c r="B3" s="2"/>
      <c r="C3" s="2"/>
      <c r="D3" s="2"/>
      <c r="E3" s="2"/>
      <c r="F3" s="2"/>
      <c r="G3" s="2"/>
      <c r="H3" s="2"/>
      <c r="I3" s="2"/>
      <c r="J3" s="2"/>
      <c r="K3" s="2"/>
      <c r="L3" s="2"/>
      <c r="M3" s="2"/>
      <c r="N3" s="2"/>
      <c r="O3" s="2"/>
      <c r="P3" s="2"/>
      <c r="Q3" s="2"/>
      <c r="R3" s="2"/>
      <c r="S3" s="2"/>
      <c r="T3" s="2"/>
      <c r="U3" s="2"/>
      <c r="V3" s="2"/>
      <c r="W3" s="2"/>
      <c r="X3" s="2"/>
      <c r="Y3" s="2"/>
      <c r="Z3" s="2"/>
    </row>
    <row r="4" customFormat="false" ht="27.75" hidden="false" customHeight="true" outlineLevel="0" collapsed="false">
      <c r="A4" s="2"/>
      <c r="B4" s="5" t="s">
        <v>1</v>
      </c>
      <c r="C4" s="5" t="s">
        <v>2</v>
      </c>
      <c r="D4" s="5" t="s">
        <v>3</v>
      </c>
      <c r="E4" s="5" t="s">
        <v>4</v>
      </c>
      <c r="F4" s="5" t="s">
        <v>5</v>
      </c>
      <c r="G4" s="5" t="s">
        <v>6</v>
      </c>
      <c r="H4" s="5" t="s">
        <v>7</v>
      </c>
      <c r="I4" s="5" t="s">
        <v>8</v>
      </c>
      <c r="J4" s="5" t="s">
        <v>9</v>
      </c>
      <c r="K4" s="5" t="s">
        <v>10</v>
      </c>
      <c r="L4" s="2"/>
      <c r="M4" s="2"/>
      <c r="N4" s="2"/>
      <c r="O4" s="2"/>
      <c r="P4" s="2"/>
      <c r="Q4" s="2"/>
      <c r="R4" s="2"/>
      <c r="S4" s="2"/>
      <c r="T4" s="2"/>
      <c r="U4" s="2"/>
      <c r="V4" s="2"/>
      <c r="W4" s="2"/>
      <c r="X4" s="2"/>
      <c r="Y4" s="2"/>
      <c r="Z4" s="2"/>
    </row>
    <row r="5" customFormat="false" ht="63" hidden="false" customHeight="true" outlineLevel="0" collapsed="false">
      <c r="A5" s="6"/>
      <c r="B5" s="7" t="s">
        <v>11</v>
      </c>
      <c r="C5" s="8" t="s">
        <v>12</v>
      </c>
      <c r="D5" s="7" t="s">
        <v>13</v>
      </c>
      <c r="E5" s="8" t="s">
        <v>14</v>
      </c>
      <c r="F5" s="8" t="n">
        <v>13</v>
      </c>
      <c r="G5" s="8" t="n">
        <v>5</v>
      </c>
      <c r="H5" s="9" t="n">
        <f aca="false">ROUND(F5/G5,2)</f>
        <v>2.6</v>
      </c>
      <c r="I5" s="8" t="s">
        <v>15</v>
      </c>
      <c r="J5" s="8" t="s">
        <v>16</v>
      </c>
      <c r="K5" s="8" t="s">
        <v>17</v>
      </c>
      <c r="L5" s="6"/>
      <c r="M5" s="6"/>
      <c r="N5" s="6"/>
      <c r="O5" s="6"/>
      <c r="P5" s="6"/>
      <c r="Q5" s="6"/>
      <c r="R5" s="6"/>
      <c r="S5" s="6"/>
      <c r="T5" s="6"/>
      <c r="U5" s="6"/>
      <c r="V5" s="6"/>
      <c r="W5" s="6"/>
      <c r="X5" s="6"/>
      <c r="Y5" s="6"/>
      <c r="Z5" s="6"/>
    </row>
    <row r="6" customFormat="false" ht="63" hidden="false" customHeight="true" outlineLevel="0" collapsed="false">
      <c r="A6" s="6"/>
      <c r="B6" s="7" t="s">
        <v>18</v>
      </c>
      <c r="C6" s="8" t="s">
        <v>19</v>
      </c>
      <c r="D6" s="7" t="s">
        <v>20</v>
      </c>
      <c r="E6" s="8" t="s">
        <v>14</v>
      </c>
      <c r="F6" s="8" t="n">
        <v>13</v>
      </c>
      <c r="G6" s="8" t="n">
        <v>5</v>
      </c>
      <c r="H6" s="9" t="n">
        <f aca="false">ROUND(F6/G6,2)</f>
        <v>2.6</v>
      </c>
      <c r="I6" s="8" t="s">
        <v>15</v>
      </c>
      <c r="J6" s="8" t="s">
        <v>16</v>
      </c>
      <c r="K6" s="8" t="s">
        <v>21</v>
      </c>
      <c r="L6" s="6"/>
      <c r="M6" s="6"/>
      <c r="N6" s="6"/>
      <c r="O6" s="6"/>
      <c r="P6" s="6"/>
      <c r="Q6" s="6"/>
      <c r="R6" s="6"/>
      <c r="S6" s="6"/>
      <c r="T6" s="6"/>
      <c r="U6" s="6"/>
      <c r="V6" s="6"/>
      <c r="W6" s="6"/>
      <c r="X6" s="6"/>
      <c r="Y6" s="6"/>
      <c r="Z6" s="6"/>
    </row>
    <row r="7" customFormat="false" ht="63" hidden="false" customHeight="true" outlineLevel="0" collapsed="false">
      <c r="A7" s="6"/>
      <c r="B7" s="10" t="s">
        <v>22</v>
      </c>
      <c r="C7" s="11" t="s">
        <v>23</v>
      </c>
      <c r="D7" s="10" t="s">
        <v>24</v>
      </c>
      <c r="E7" s="11" t="s">
        <v>14</v>
      </c>
      <c r="F7" s="11" t="n">
        <v>13</v>
      </c>
      <c r="G7" s="11" t="n">
        <v>5</v>
      </c>
      <c r="H7" s="12" t="n">
        <f aca="false">ROUND(F7/G7,2)</f>
        <v>2.6</v>
      </c>
      <c r="I7" s="11" t="s">
        <v>15</v>
      </c>
      <c r="J7" s="11" t="s">
        <v>16</v>
      </c>
      <c r="K7" s="11" t="s">
        <v>25</v>
      </c>
      <c r="L7" s="6"/>
      <c r="M7" s="6"/>
      <c r="N7" s="6"/>
      <c r="O7" s="6"/>
      <c r="P7" s="6"/>
      <c r="Q7" s="6"/>
      <c r="R7" s="6"/>
      <c r="S7" s="6"/>
      <c r="T7" s="6"/>
      <c r="U7" s="6"/>
      <c r="V7" s="6"/>
      <c r="W7" s="6"/>
      <c r="X7" s="6"/>
      <c r="Y7" s="6"/>
      <c r="Z7" s="6"/>
    </row>
    <row r="8" customFormat="false" ht="63" hidden="false" customHeight="true" outlineLevel="0" collapsed="false">
      <c r="A8" s="6"/>
      <c r="B8" s="10" t="s">
        <v>26</v>
      </c>
      <c r="C8" s="11" t="s">
        <v>27</v>
      </c>
      <c r="D8" s="10" t="s">
        <v>28</v>
      </c>
      <c r="E8" s="11" t="s">
        <v>14</v>
      </c>
      <c r="F8" s="11" t="n">
        <v>13</v>
      </c>
      <c r="G8" s="11" t="n">
        <v>5</v>
      </c>
      <c r="H8" s="12" t="n">
        <f aca="false">ROUND(F8/G8,2)</f>
        <v>2.6</v>
      </c>
      <c r="I8" s="11" t="s">
        <v>15</v>
      </c>
      <c r="J8" s="11" t="s">
        <v>16</v>
      </c>
      <c r="K8" s="11" t="s">
        <v>29</v>
      </c>
      <c r="L8" s="6"/>
      <c r="M8" s="6"/>
      <c r="N8" s="6"/>
      <c r="O8" s="6"/>
      <c r="P8" s="6"/>
      <c r="Q8" s="6"/>
      <c r="R8" s="6"/>
      <c r="S8" s="6"/>
      <c r="T8" s="6"/>
      <c r="U8" s="6"/>
      <c r="V8" s="6"/>
      <c r="W8" s="6"/>
      <c r="X8" s="6"/>
      <c r="Y8" s="6"/>
      <c r="Z8" s="6"/>
    </row>
    <row r="9" customFormat="false" ht="63" hidden="false" customHeight="true" outlineLevel="0" collapsed="false">
      <c r="A9" s="6"/>
      <c r="B9" s="10" t="s">
        <v>30</v>
      </c>
      <c r="C9" s="11" t="s">
        <v>31</v>
      </c>
      <c r="D9" s="10" t="s">
        <v>32</v>
      </c>
      <c r="E9" s="11" t="s">
        <v>14</v>
      </c>
      <c r="F9" s="11" t="n">
        <v>8</v>
      </c>
      <c r="G9" s="11" t="n">
        <v>3</v>
      </c>
      <c r="H9" s="12" t="n">
        <f aca="false">ROUND(F9/G9,2)</f>
        <v>2.67</v>
      </c>
      <c r="I9" s="11" t="s">
        <v>33</v>
      </c>
      <c r="J9" s="11" t="s">
        <v>16</v>
      </c>
      <c r="K9" s="11" t="s">
        <v>34</v>
      </c>
      <c r="L9" s="6"/>
      <c r="M9" s="6"/>
      <c r="N9" s="6"/>
      <c r="O9" s="6"/>
      <c r="P9" s="6"/>
      <c r="Q9" s="6"/>
      <c r="R9" s="6"/>
      <c r="S9" s="6"/>
      <c r="T9" s="6"/>
      <c r="U9" s="6"/>
      <c r="V9" s="6"/>
      <c r="W9" s="6"/>
      <c r="X9" s="6"/>
      <c r="Y9" s="6"/>
      <c r="Z9" s="6"/>
    </row>
    <row r="10" customFormat="false" ht="63" hidden="false" customHeight="true" outlineLevel="0" collapsed="false">
      <c r="A10" s="6"/>
      <c r="B10" s="10" t="s">
        <v>35</v>
      </c>
      <c r="C10" s="11" t="s">
        <v>36</v>
      </c>
      <c r="D10" s="10" t="s">
        <v>37</v>
      </c>
      <c r="E10" s="11" t="s">
        <v>14</v>
      </c>
      <c r="F10" s="11" t="n">
        <v>10</v>
      </c>
      <c r="G10" s="11" t="n">
        <v>5</v>
      </c>
      <c r="H10" s="12" t="n">
        <f aca="false">ROUND(F10/G10,2)</f>
        <v>2</v>
      </c>
      <c r="I10" s="11" t="s">
        <v>33</v>
      </c>
      <c r="J10" s="11" t="s">
        <v>16</v>
      </c>
      <c r="K10" s="11" t="s">
        <v>38</v>
      </c>
      <c r="L10" s="6"/>
      <c r="M10" s="6"/>
      <c r="N10" s="6"/>
      <c r="O10" s="6"/>
      <c r="P10" s="6"/>
      <c r="Q10" s="6"/>
      <c r="R10" s="6"/>
      <c r="S10" s="6"/>
      <c r="T10" s="6"/>
      <c r="U10" s="6"/>
      <c r="V10" s="6"/>
      <c r="W10" s="6"/>
      <c r="X10" s="6"/>
      <c r="Y10" s="6"/>
      <c r="Z10" s="6"/>
    </row>
    <row r="11" customFormat="false" ht="63" hidden="false" customHeight="true" outlineLevel="0" collapsed="false">
      <c r="A11" s="6"/>
      <c r="B11" s="7" t="s">
        <v>39</v>
      </c>
      <c r="C11" s="8" t="s">
        <v>40</v>
      </c>
      <c r="D11" s="7" t="s">
        <v>41</v>
      </c>
      <c r="E11" s="8" t="s">
        <v>14</v>
      </c>
      <c r="F11" s="8" t="n">
        <v>8</v>
      </c>
      <c r="G11" s="8" t="n">
        <v>5</v>
      </c>
      <c r="H11" s="9" t="n">
        <f aca="false">ROUND(F11/G11,2)</f>
        <v>1.6</v>
      </c>
      <c r="I11" s="8" t="s">
        <v>33</v>
      </c>
      <c r="J11" s="8" t="s">
        <v>16</v>
      </c>
      <c r="K11" s="8" t="s">
        <v>42</v>
      </c>
      <c r="L11" s="6"/>
      <c r="M11" s="6"/>
      <c r="N11" s="6"/>
      <c r="O11" s="6"/>
      <c r="P11" s="6"/>
      <c r="Q11" s="6"/>
      <c r="R11" s="6"/>
      <c r="S11" s="6"/>
      <c r="T11" s="6"/>
      <c r="U11" s="6"/>
      <c r="V11" s="6"/>
      <c r="W11" s="6"/>
      <c r="X11" s="6"/>
      <c r="Y11" s="6"/>
      <c r="Z11" s="6"/>
    </row>
    <row r="12" customFormat="false" ht="63" hidden="false" customHeight="true" outlineLevel="0" collapsed="false">
      <c r="A12" s="6"/>
      <c r="B12" s="10" t="s">
        <v>43</v>
      </c>
      <c r="C12" s="11" t="s">
        <v>44</v>
      </c>
      <c r="D12" s="10" t="s">
        <v>45</v>
      </c>
      <c r="E12" s="11" t="s">
        <v>14</v>
      </c>
      <c r="F12" s="11" t="n">
        <v>8</v>
      </c>
      <c r="G12" s="11" t="n">
        <v>5</v>
      </c>
      <c r="H12" s="12" t="n">
        <f aca="false">ROUND(F12/G12,2)</f>
        <v>1.6</v>
      </c>
      <c r="I12" s="11" t="s">
        <v>33</v>
      </c>
      <c r="J12" s="11" t="s">
        <v>46</v>
      </c>
      <c r="K12" s="11" t="s">
        <v>47</v>
      </c>
      <c r="L12" s="6"/>
      <c r="M12" s="6"/>
      <c r="N12" s="6"/>
      <c r="O12" s="6"/>
      <c r="P12" s="6"/>
      <c r="Q12" s="6"/>
      <c r="R12" s="6"/>
      <c r="S12" s="6"/>
      <c r="T12" s="6"/>
      <c r="U12" s="6"/>
      <c r="V12" s="6"/>
      <c r="W12" s="6"/>
      <c r="X12" s="6"/>
      <c r="Y12" s="6"/>
      <c r="Z12" s="6"/>
    </row>
    <row r="13" customFormat="false" ht="63" hidden="false" customHeight="true" outlineLevel="0" collapsed="false">
      <c r="A13" s="2"/>
      <c r="B13" s="10" t="s">
        <v>48</v>
      </c>
      <c r="C13" s="11" t="s">
        <v>49</v>
      </c>
      <c r="D13" s="10" t="s">
        <v>50</v>
      </c>
      <c r="E13" s="11" t="s">
        <v>14</v>
      </c>
      <c r="F13" s="11" t="n">
        <v>5</v>
      </c>
      <c r="G13" s="11" t="n">
        <v>3</v>
      </c>
      <c r="H13" s="12" t="n">
        <f aca="false">ROUND(F13/G13,2)</f>
        <v>1.67</v>
      </c>
      <c r="I13" s="11" t="s">
        <v>33</v>
      </c>
      <c r="J13" s="11" t="s">
        <v>46</v>
      </c>
      <c r="K13" s="11" t="s">
        <v>51</v>
      </c>
      <c r="L13" s="2"/>
      <c r="M13" s="2"/>
      <c r="N13" s="2"/>
      <c r="O13" s="2"/>
      <c r="P13" s="2"/>
      <c r="Q13" s="2"/>
      <c r="R13" s="2"/>
      <c r="S13" s="2"/>
      <c r="T13" s="2"/>
      <c r="U13" s="2"/>
      <c r="V13" s="2"/>
      <c r="W13" s="2"/>
      <c r="X13" s="2"/>
      <c r="Y13" s="2"/>
      <c r="Z13" s="2"/>
    </row>
    <row r="14" customFormat="false" ht="63" hidden="false" customHeight="true" outlineLevel="0" collapsed="false">
      <c r="A14" s="2"/>
      <c r="B14" s="10" t="s">
        <v>52</v>
      </c>
      <c r="C14" s="11" t="s">
        <v>53</v>
      </c>
      <c r="D14" s="10" t="s">
        <v>54</v>
      </c>
      <c r="E14" s="11" t="s">
        <v>55</v>
      </c>
      <c r="F14" s="11" t="n">
        <v>10</v>
      </c>
      <c r="G14" s="11" t="n">
        <v>5</v>
      </c>
      <c r="H14" s="12" t="n">
        <f aca="false">ROUND(F14/G14,2)</f>
        <v>2</v>
      </c>
      <c r="I14" s="11" t="s">
        <v>56</v>
      </c>
      <c r="J14" s="11" t="s">
        <v>16</v>
      </c>
      <c r="K14" s="11" t="s">
        <v>57</v>
      </c>
      <c r="L14" s="2"/>
      <c r="M14" s="2"/>
      <c r="N14" s="2"/>
      <c r="O14" s="2"/>
      <c r="P14" s="2"/>
      <c r="Q14" s="2"/>
      <c r="R14" s="2"/>
      <c r="S14" s="2"/>
      <c r="T14" s="2"/>
      <c r="U14" s="2"/>
      <c r="V14" s="2"/>
      <c r="W14" s="2"/>
      <c r="X14" s="2"/>
      <c r="Y14" s="2"/>
      <c r="Z14" s="2"/>
    </row>
    <row r="15" customFormat="false" ht="63" hidden="false" customHeight="true" outlineLevel="0" collapsed="false">
      <c r="A15" s="2"/>
      <c r="B15" s="10" t="s">
        <v>58</v>
      </c>
      <c r="C15" s="11" t="s">
        <v>59</v>
      </c>
      <c r="D15" s="10" t="s">
        <v>60</v>
      </c>
      <c r="E15" s="11" t="s">
        <v>55</v>
      </c>
      <c r="F15" s="11" t="n">
        <v>13</v>
      </c>
      <c r="G15" s="11" t="n">
        <v>8</v>
      </c>
      <c r="H15" s="12" t="n">
        <f aca="false">ROUND(F15/G15,2)</f>
        <v>1.63</v>
      </c>
      <c r="I15" s="11" t="s">
        <v>56</v>
      </c>
      <c r="J15" s="11" t="s">
        <v>46</v>
      </c>
      <c r="K15" s="11" t="s">
        <v>61</v>
      </c>
      <c r="L15" s="2"/>
      <c r="M15" s="2"/>
      <c r="N15" s="2"/>
      <c r="O15" s="2"/>
      <c r="P15" s="2"/>
      <c r="Q15" s="2"/>
      <c r="R15" s="2"/>
      <c r="S15" s="2"/>
      <c r="T15" s="2"/>
      <c r="U15" s="2"/>
      <c r="V15" s="2"/>
      <c r="W15" s="2"/>
      <c r="X15" s="2"/>
      <c r="Y15" s="2"/>
      <c r="Z15" s="2"/>
    </row>
    <row r="16" customFormat="false" ht="63" hidden="false" customHeight="true" outlineLevel="0" collapsed="false">
      <c r="A16" s="2"/>
      <c r="B16" s="7" t="s">
        <v>62</v>
      </c>
      <c r="C16" s="8" t="s">
        <v>63</v>
      </c>
      <c r="D16" s="7" t="s">
        <v>64</v>
      </c>
      <c r="E16" s="8" t="s">
        <v>55</v>
      </c>
      <c r="F16" s="8" t="n">
        <v>5</v>
      </c>
      <c r="G16" s="8" t="n">
        <v>3</v>
      </c>
      <c r="H16" s="9" t="n">
        <f aca="false">ROUND(F16/G16,2)</f>
        <v>1.67</v>
      </c>
      <c r="I16" s="8" t="s">
        <v>56</v>
      </c>
      <c r="J16" s="8" t="s">
        <v>46</v>
      </c>
      <c r="K16" s="8" t="s">
        <v>65</v>
      </c>
      <c r="L16" s="2"/>
      <c r="M16" s="2"/>
      <c r="N16" s="2"/>
      <c r="O16" s="2"/>
      <c r="P16" s="2"/>
      <c r="Q16" s="2"/>
      <c r="R16" s="2"/>
      <c r="S16" s="2"/>
      <c r="T16" s="2"/>
      <c r="U16" s="2"/>
      <c r="V16" s="2"/>
      <c r="W16" s="2"/>
      <c r="X16" s="2"/>
      <c r="Y16" s="2"/>
      <c r="Z16" s="2"/>
    </row>
    <row r="17" customFormat="false" ht="63" hidden="false" customHeight="true" outlineLevel="0" collapsed="false">
      <c r="A17" s="2"/>
      <c r="B17" s="10" t="s">
        <v>66</v>
      </c>
      <c r="C17" s="11" t="s">
        <v>67</v>
      </c>
      <c r="D17" s="10" t="s">
        <v>68</v>
      </c>
      <c r="E17" s="11" t="s">
        <v>55</v>
      </c>
      <c r="F17" s="11" t="n">
        <v>8</v>
      </c>
      <c r="G17" s="11" t="n">
        <v>5</v>
      </c>
      <c r="H17" s="12" t="n">
        <f aca="false">ROUND(F17/G17,2)</f>
        <v>1.6</v>
      </c>
      <c r="I17" s="11" t="s">
        <v>56</v>
      </c>
      <c r="J17" s="11" t="s">
        <v>46</v>
      </c>
      <c r="K17" s="11" t="s">
        <v>69</v>
      </c>
      <c r="L17" s="2"/>
      <c r="M17" s="2"/>
      <c r="N17" s="2"/>
      <c r="O17" s="2"/>
      <c r="P17" s="2"/>
      <c r="Q17" s="2"/>
      <c r="R17" s="2"/>
      <c r="S17" s="2"/>
      <c r="T17" s="2"/>
      <c r="U17" s="2"/>
      <c r="V17" s="2"/>
      <c r="W17" s="2"/>
      <c r="X17" s="2"/>
      <c r="Y17" s="2"/>
      <c r="Z17" s="2"/>
    </row>
    <row r="18" customFormat="false" ht="63" hidden="false" customHeight="true" outlineLevel="0" collapsed="false">
      <c r="A18" s="2"/>
      <c r="B18" s="10" t="s">
        <v>70</v>
      </c>
      <c r="C18" s="11" t="s">
        <v>71</v>
      </c>
      <c r="D18" s="10" t="s">
        <v>72</v>
      </c>
      <c r="E18" s="11" t="s">
        <v>55</v>
      </c>
      <c r="F18" s="11" t="n">
        <v>8</v>
      </c>
      <c r="G18" s="11" t="n">
        <v>8</v>
      </c>
      <c r="H18" s="12" t="n">
        <f aca="false">ROUND(F18/G18,2)</f>
        <v>1</v>
      </c>
      <c r="I18" s="11" t="s">
        <v>73</v>
      </c>
      <c r="J18" s="11" t="s">
        <v>46</v>
      </c>
      <c r="K18" s="11" t="s">
        <v>74</v>
      </c>
      <c r="L18" s="2"/>
      <c r="M18" s="2"/>
      <c r="N18" s="2"/>
      <c r="O18" s="2"/>
      <c r="P18" s="2"/>
      <c r="Q18" s="2"/>
      <c r="R18" s="2"/>
      <c r="S18" s="2"/>
      <c r="T18" s="2"/>
      <c r="U18" s="2"/>
      <c r="V18" s="2"/>
      <c r="W18" s="2"/>
      <c r="X18" s="2"/>
      <c r="Y18" s="2"/>
      <c r="Z18" s="2"/>
    </row>
    <row r="19" customFormat="false" ht="63" hidden="false" customHeight="true" outlineLevel="0" collapsed="false">
      <c r="A19" s="2"/>
      <c r="B19" s="10" t="s">
        <v>75</v>
      </c>
      <c r="C19" s="11" t="s">
        <v>76</v>
      </c>
      <c r="D19" s="10" t="s">
        <v>77</v>
      </c>
      <c r="E19" s="11" t="s">
        <v>55</v>
      </c>
      <c r="F19" s="11" t="n">
        <v>8</v>
      </c>
      <c r="G19" s="11" t="n">
        <v>8</v>
      </c>
      <c r="H19" s="12" t="n">
        <f aca="false">ROUND(F19/G19,2)</f>
        <v>1</v>
      </c>
      <c r="I19" s="11" t="s">
        <v>73</v>
      </c>
      <c r="J19" s="11" t="s">
        <v>78</v>
      </c>
      <c r="K19" s="11" t="s">
        <v>79</v>
      </c>
      <c r="L19" s="2"/>
      <c r="M19" s="2"/>
      <c r="N19" s="2"/>
      <c r="O19" s="2"/>
      <c r="P19" s="2"/>
      <c r="Q19" s="2"/>
      <c r="R19" s="2"/>
      <c r="S19" s="2"/>
      <c r="T19" s="2"/>
      <c r="U19" s="2"/>
      <c r="V19" s="2"/>
      <c r="W19" s="2"/>
      <c r="X19" s="2"/>
      <c r="Y19" s="2"/>
      <c r="Z19" s="2"/>
    </row>
    <row r="20" customFormat="false" ht="63" hidden="false" customHeight="true" outlineLevel="0" collapsed="false">
      <c r="A20" s="2"/>
      <c r="B20" s="10" t="s">
        <v>80</v>
      </c>
      <c r="C20" s="11" t="s">
        <v>81</v>
      </c>
      <c r="D20" s="10" t="s">
        <v>82</v>
      </c>
      <c r="E20" s="11" t="s">
        <v>55</v>
      </c>
      <c r="F20" s="11" t="n">
        <v>3</v>
      </c>
      <c r="G20" s="11" t="n">
        <v>2</v>
      </c>
      <c r="H20" s="12" t="n">
        <f aca="false">ROUND(F20/G20,2)</f>
        <v>1.5</v>
      </c>
      <c r="I20" s="11" t="s">
        <v>73</v>
      </c>
      <c r="J20" s="11" t="s">
        <v>78</v>
      </c>
      <c r="K20" s="11" t="s">
        <v>83</v>
      </c>
      <c r="L20" s="2"/>
      <c r="M20" s="2"/>
      <c r="N20" s="2"/>
      <c r="O20" s="2"/>
      <c r="P20" s="2"/>
      <c r="Q20" s="2"/>
      <c r="R20" s="2"/>
      <c r="S20" s="2"/>
      <c r="T20" s="2"/>
      <c r="U20" s="2"/>
      <c r="V20" s="2"/>
      <c r="W20" s="2"/>
      <c r="X20" s="2"/>
      <c r="Y20" s="2"/>
      <c r="Z20" s="2"/>
    </row>
    <row r="21" customFormat="false" ht="63" hidden="false" customHeight="true" outlineLevel="0" collapsed="false">
      <c r="A21" s="2"/>
      <c r="B21" s="13" t="s">
        <v>84</v>
      </c>
      <c r="C21" s="14" t="s">
        <v>85</v>
      </c>
      <c r="D21" s="13" t="s">
        <v>86</v>
      </c>
      <c r="E21" s="14"/>
      <c r="F21" s="14" t="n">
        <v>8</v>
      </c>
      <c r="G21" s="14" t="n">
        <v>5</v>
      </c>
      <c r="H21" s="15" t="n">
        <f aca="false">ROUND(F21/G21,2)</f>
        <v>1.6</v>
      </c>
      <c r="I21" s="14" t="s">
        <v>87</v>
      </c>
      <c r="J21" s="14" t="s">
        <v>46</v>
      </c>
      <c r="K21" s="14" t="s">
        <v>88</v>
      </c>
      <c r="L21" s="2"/>
      <c r="M21" s="2"/>
      <c r="N21" s="2"/>
      <c r="O21" s="2"/>
      <c r="P21" s="2"/>
      <c r="Q21" s="2"/>
      <c r="R21" s="2"/>
      <c r="S21" s="2"/>
      <c r="T21" s="2"/>
      <c r="U21" s="2"/>
      <c r="V21" s="2"/>
      <c r="W21" s="2"/>
      <c r="X21" s="2"/>
      <c r="Y21" s="2"/>
      <c r="Z21" s="2"/>
    </row>
    <row r="22" customFormat="false" ht="63" hidden="false" customHeight="true" outlineLevel="0" collapsed="false">
      <c r="A22" s="2"/>
      <c r="B22" s="13" t="s">
        <v>89</v>
      </c>
      <c r="C22" s="14" t="s">
        <v>90</v>
      </c>
      <c r="D22" s="13" t="s">
        <v>91</v>
      </c>
      <c r="E22" s="14"/>
      <c r="F22" s="14" t="n">
        <v>8</v>
      </c>
      <c r="G22" s="14" t="n">
        <v>3</v>
      </c>
      <c r="H22" s="15" t="n">
        <f aca="false">ROUND(F22/G22,2)</f>
        <v>2.67</v>
      </c>
      <c r="I22" s="14" t="s">
        <v>87</v>
      </c>
      <c r="J22" s="14" t="s">
        <v>46</v>
      </c>
      <c r="K22" s="14" t="s">
        <v>92</v>
      </c>
      <c r="L22" s="2"/>
      <c r="M22" s="2"/>
      <c r="N22" s="2"/>
      <c r="O22" s="2"/>
      <c r="P22" s="2"/>
      <c r="Q22" s="2"/>
      <c r="R22" s="2"/>
      <c r="S22" s="2"/>
      <c r="T22" s="2"/>
      <c r="U22" s="2"/>
      <c r="V22" s="2"/>
      <c r="W22" s="2"/>
      <c r="X22" s="2"/>
      <c r="Y22" s="2"/>
      <c r="Z22" s="2"/>
    </row>
    <row r="23" customFormat="false" ht="63" hidden="false" customHeight="true" outlineLevel="0" collapsed="false">
      <c r="A23" s="2"/>
      <c r="B23" s="13" t="s">
        <v>93</v>
      </c>
      <c r="C23" s="14" t="s">
        <v>94</v>
      </c>
      <c r="D23" s="13" t="s">
        <v>95</v>
      </c>
      <c r="E23" s="14"/>
      <c r="F23" s="14" t="n">
        <v>5</v>
      </c>
      <c r="G23" s="14" t="n">
        <v>3</v>
      </c>
      <c r="H23" s="15" t="n">
        <f aca="false">ROUND(F23/G23,2)</f>
        <v>1.67</v>
      </c>
      <c r="I23" s="14" t="s">
        <v>87</v>
      </c>
      <c r="J23" s="14" t="s">
        <v>78</v>
      </c>
      <c r="K23" s="14" t="s">
        <v>96</v>
      </c>
      <c r="L23" s="2"/>
      <c r="M23" s="2"/>
      <c r="N23" s="2"/>
      <c r="O23" s="2"/>
      <c r="P23" s="2"/>
      <c r="Q23" s="2"/>
      <c r="R23" s="2"/>
      <c r="S23" s="2"/>
      <c r="T23" s="2"/>
      <c r="U23" s="2"/>
      <c r="V23" s="2"/>
      <c r="W23" s="2"/>
      <c r="X23" s="2"/>
      <c r="Y23" s="2"/>
      <c r="Z23" s="2"/>
    </row>
    <row r="24" customFormat="false" ht="63" hidden="false" customHeight="true" outlineLevel="0" collapsed="false">
      <c r="A24" s="2"/>
      <c r="B24" s="13" t="s">
        <v>97</v>
      </c>
      <c r="C24" s="14" t="s">
        <v>98</v>
      </c>
      <c r="D24" s="13" t="s">
        <v>99</v>
      </c>
      <c r="E24" s="14"/>
      <c r="F24" s="14" t="n">
        <v>13</v>
      </c>
      <c r="G24" s="14" t="n">
        <v>13</v>
      </c>
      <c r="H24" s="15" t="n">
        <f aca="false">ROUND(F24/G24,2)</f>
        <v>1</v>
      </c>
      <c r="I24" s="14" t="s">
        <v>87</v>
      </c>
      <c r="J24" s="14" t="s">
        <v>46</v>
      </c>
      <c r="K24" s="14" t="s">
        <v>100</v>
      </c>
      <c r="L24" s="2"/>
      <c r="M24" s="2"/>
      <c r="N24" s="2"/>
      <c r="O24" s="2"/>
      <c r="P24" s="2"/>
      <c r="Q24" s="2"/>
      <c r="R24" s="2"/>
      <c r="S24" s="2"/>
      <c r="T24" s="2"/>
      <c r="U24" s="2"/>
      <c r="V24" s="2"/>
      <c r="W24" s="2"/>
      <c r="X24" s="2"/>
      <c r="Y24" s="2"/>
      <c r="Z24" s="2"/>
    </row>
    <row r="25" customFormat="false" ht="15.75" hidden="false" customHeight="true" outlineLevel="0" collapsed="false">
      <c r="A25" s="2"/>
      <c r="B25" s="2"/>
      <c r="C25" s="2"/>
      <c r="D25" s="2"/>
      <c r="E25" s="2"/>
      <c r="F25" s="2"/>
      <c r="G25" s="2"/>
      <c r="H25" s="2"/>
      <c r="I25" s="2"/>
      <c r="J25" s="2"/>
      <c r="K25" s="2"/>
      <c r="L25" s="2"/>
      <c r="M25" s="2"/>
      <c r="N25" s="2"/>
      <c r="O25" s="2"/>
      <c r="P25" s="2"/>
      <c r="Q25" s="2"/>
      <c r="R25" s="2"/>
      <c r="S25" s="2"/>
      <c r="T25" s="2"/>
      <c r="U25" s="2"/>
      <c r="V25" s="2"/>
      <c r="W25" s="2"/>
      <c r="X25" s="2"/>
      <c r="Y25" s="2"/>
      <c r="Z25" s="2"/>
    </row>
    <row r="26" customFormat="false" ht="33" hidden="false" customHeight="true" outlineLevel="0" collapsed="false">
      <c r="A26" s="2"/>
      <c r="B26" s="16" t="s">
        <v>101</v>
      </c>
      <c r="C26" s="17" t="s">
        <v>102</v>
      </c>
      <c r="D26" s="2"/>
      <c r="E26" s="2"/>
      <c r="F26" s="2"/>
      <c r="G26" s="2"/>
      <c r="H26" s="2"/>
      <c r="I26" s="2"/>
      <c r="J26" s="2"/>
      <c r="K26" s="2"/>
      <c r="L26" s="2"/>
      <c r="M26" s="2"/>
      <c r="N26" s="2"/>
      <c r="O26" s="2"/>
      <c r="P26" s="2"/>
      <c r="Q26" s="2"/>
      <c r="R26" s="2"/>
      <c r="S26" s="2"/>
      <c r="T26" s="2"/>
      <c r="U26" s="2"/>
      <c r="V26" s="2"/>
      <c r="W26" s="2"/>
      <c r="X26" s="2"/>
      <c r="Y26" s="2"/>
      <c r="Z26" s="2"/>
    </row>
    <row r="27" customFormat="false" ht="15.75" hidden="false" customHeight="true" outlineLevel="0" collapsed="false">
      <c r="A27" s="2"/>
      <c r="B27" s="2"/>
      <c r="C27" s="2"/>
      <c r="D27" s="2"/>
      <c r="E27" s="2"/>
      <c r="F27" s="2"/>
      <c r="G27" s="2"/>
      <c r="H27" s="2"/>
      <c r="I27" s="2"/>
      <c r="J27" s="2"/>
      <c r="K27" s="2"/>
      <c r="L27" s="2"/>
      <c r="M27" s="2"/>
      <c r="N27" s="2"/>
      <c r="O27" s="2"/>
      <c r="P27" s="2"/>
      <c r="Q27" s="2"/>
      <c r="R27" s="2"/>
      <c r="S27" s="2"/>
      <c r="T27" s="2"/>
      <c r="U27" s="2"/>
      <c r="V27" s="2"/>
      <c r="W27" s="2"/>
      <c r="X27" s="2"/>
      <c r="Y27" s="2"/>
      <c r="Z27" s="2"/>
    </row>
    <row r="28" customFormat="false" ht="15.75" hidden="false" customHeight="true" outlineLevel="0" collapsed="false">
      <c r="A28" s="2"/>
      <c r="B28" s="2"/>
      <c r="C28" s="2"/>
      <c r="D28" s="2"/>
      <c r="E28" s="2"/>
      <c r="F28" s="2"/>
      <c r="G28" s="2"/>
      <c r="H28" s="2"/>
      <c r="I28" s="2"/>
      <c r="J28" s="2"/>
      <c r="K28" s="2"/>
      <c r="L28" s="2"/>
      <c r="M28" s="2"/>
      <c r="N28" s="2"/>
      <c r="O28" s="2"/>
      <c r="P28" s="2"/>
      <c r="Q28" s="2"/>
      <c r="R28" s="2"/>
      <c r="S28" s="2"/>
      <c r="T28" s="2"/>
      <c r="U28" s="2"/>
      <c r="V28" s="2"/>
      <c r="W28" s="2"/>
      <c r="X28" s="2"/>
      <c r="Y28" s="2"/>
      <c r="Z28" s="2"/>
    </row>
    <row r="29" customFormat="false" ht="15.75" hidden="false" customHeight="true" outlineLevel="0" collapsed="false">
      <c r="A29" s="2"/>
      <c r="B29" s="2"/>
      <c r="C29" s="2"/>
      <c r="D29" s="2"/>
      <c r="E29" s="2"/>
      <c r="F29" s="2"/>
      <c r="G29" s="2"/>
      <c r="H29" s="2"/>
      <c r="I29" s="2"/>
      <c r="J29" s="2"/>
      <c r="K29" s="2"/>
      <c r="L29" s="2"/>
      <c r="M29" s="2"/>
      <c r="N29" s="2"/>
      <c r="O29" s="2"/>
      <c r="P29" s="2"/>
      <c r="Q29" s="2"/>
      <c r="R29" s="2"/>
      <c r="S29" s="2"/>
      <c r="T29" s="2"/>
      <c r="U29" s="2"/>
      <c r="V29" s="2"/>
      <c r="W29" s="2"/>
      <c r="X29" s="2"/>
      <c r="Y29" s="2"/>
      <c r="Z29" s="2"/>
    </row>
    <row r="30" customFormat="false" ht="15.75" hidden="false" customHeight="true" outlineLevel="0" collapsed="false">
      <c r="A30" s="2"/>
      <c r="B30" s="2"/>
      <c r="C30" s="2"/>
      <c r="D30" s="2"/>
      <c r="E30" s="2"/>
      <c r="F30" s="2"/>
      <c r="G30" s="2"/>
      <c r="H30" s="2"/>
      <c r="I30" s="2"/>
      <c r="J30" s="2"/>
      <c r="K30" s="2"/>
      <c r="L30" s="2"/>
      <c r="M30" s="2"/>
      <c r="N30" s="2"/>
      <c r="O30" s="2"/>
      <c r="P30" s="2"/>
      <c r="Q30" s="2"/>
      <c r="R30" s="2"/>
      <c r="S30" s="2"/>
      <c r="T30" s="2"/>
      <c r="U30" s="2"/>
      <c r="V30" s="2"/>
      <c r="W30" s="2"/>
      <c r="X30" s="2"/>
      <c r="Y30" s="2"/>
      <c r="Z30" s="2"/>
    </row>
    <row r="31" customFormat="false" ht="15.75" hidden="false" customHeight="true" outlineLevel="0" collapsed="false">
      <c r="A31" s="2"/>
      <c r="B31" s="2"/>
      <c r="C31" s="2"/>
      <c r="D31" s="2"/>
      <c r="E31" s="2"/>
      <c r="F31" s="2"/>
      <c r="G31" s="2"/>
      <c r="H31" s="2"/>
      <c r="I31" s="2"/>
      <c r="J31" s="2"/>
      <c r="K31" s="2"/>
      <c r="L31" s="2"/>
      <c r="M31" s="2"/>
      <c r="N31" s="2"/>
      <c r="O31" s="2"/>
      <c r="P31" s="2"/>
      <c r="Q31" s="2"/>
      <c r="R31" s="2"/>
      <c r="S31" s="2"/>
      <c r="T31" s="2"/>
      <c r="U31" s="2"/>
      <c r="V31" s="2"/>
      <c r="W31" s="2"/>
      <c r="X31" s="2"/>
      <c r="Y31" s="2"/>
      <c r="Z31" s="2"/>
    </row>
    <row r="32" customFormat="false" ht="15.75" hidden="false" customHeight="true" outlineLevel="0" collapsed="false">
      <c r="A32" s="2"/>
      <c r="B32" s="2"/>
      <c r="C32" s="2"/>
      <c r="D32" s="2"/>
      <c r="E32" s="2"/>
      <c r="F32" s="2"/>
      <c r="G32" s="2"/>
      <c r="H32" s="2"/>
      <c r="I32" s="2"/>
      <c r="J32" s="2"/>
      <c r="K32" s="2"/>
      <c r="L32" s="2"/>
      <c r="M32" s="2"/>
      <c r="N32" s="2"/>
      <c r="O32" s="2"/>
      <c r="P32" s="2"/>
      <c r="Q32" s="2"/>
      <c r="R32" s="2"/>
      <c r="S32" s="2"/>
      <c r="T32" s="2"/>
      <c r="U32" s="2"/>
      <c r="V32" s="2"/>
      <c r="W32" s="2"/>
      <c r="X32" s="2"/>
      <c r="Y32" s="2"/>
      <c r="Z32" s="2"/>
    </row>
    <row r="33" customFormat="false" ht="15.75" hidden="false" customHeight="true" outlineLevel="0" collapsed="false">
      <c r="A33" s="2"/>
      <c r="B33" s="2"/>
      <c r="C33" s="2"/>
      <c r="D33" s="2"/>
      <c r="E33" s="2"/>
      <c r="F33" s="2"/>
      <c r="G33" s="2"/>
      <c r="H33" s="2"/>
      <c r="I33" s="2"/>
      <c r="J33" s="2"/>
      <c r="K33" s="2"/>
      <c r="L33" s="2"/>
      <c r="M33" s="2"/>
      <c r="N33" s="2"/>
      <c r="O33" s="2"/>
      <c r="P33" s="2"/>
      <c r="Q33" s="2"/>
      <c r="R33" s="2"/>
      <c r="S33" s="2"/>
      <c r="T33" s="2"/>
      <c r="U33" s="2"/>
      <c r="V33" s="2"/>
      <c r="W33" s="2"/>
      <c r="X33" s="2"/>
      <c r="Y33" s="2"/>
      <c r="Z33" s="2"/>
    </row>
    <row r="34" customFormat="false" ht="15.75" hidden="false" customHeight="true" outlineLevel="0" collapsed="false">
      <c r="A34" s="2"/>
      <c r="B34" s="2"/>
      <c r="C34" s="2"/>
      <c r="D34" s="2"/>
      <c r="E34" s="2"/>
      <c r="F34" s="2"/>
      <c r="G34" s="2"/>
      <c r="H34" s="2"/>
      <c r="I34" s="2"/>
      <c r="J34" s="2"/>
      <c r="K34" s="2"/>
      <c r="L34" s="2"/>
      <c r="M34" s="2"/>
      <c r="N34" s="2"/>
      <c r="O34" s="2"/>
      <c r="P34" s="2"/>
      <c r="Q34" s="2"/>
      <c r="R34" s="2"/>
      <c r="S34" s="2"/>
      <c r="T34" s="2"/>
      <c r="U34" s="2"/>
      <c r="V34" s="2"/>
      <c r="W34" s="2"/>
      <c r="X34" s="2"/>
      <c r="Y34" s="2"/>
      <c r="Z34" s="2"/>
    </row>
    <row r="35" customFormat="false" ht="15.75" hidden="false" customHeight="true" outlineLevel="0" collapsed="false">
      <c r="A35" s="2"/>
      <c r="B35" s="2"/>
      <c r="C35" s="2"/>
      <c r="D35" s="2"/>
      <c r="E35" s="2"/>
      <c r="F35" s="2"/>
      <c r="G35" s="2"/>
      <c r="H35" s="2"/>
      <c r="I35" s="2"/>
      <c r="J35" s="2"/>
      <c r="K35" s="2"/>
      <c r="L35" s="2"/>
      <c r="M35" s="2"/>
      <c r="N35" s="2"/>
      <c r="O35" s="2"/>
      <c r="P35" s="2"/>
      <c r="Q35" s="2"/>
      <c r="R35" s="2"/>
      <c r="S35" s="2"/>
      <c r="T35" s="2"/>
      <c r="U35" s="2"/>
      <c r="V35" s="2"/>
      <c r="W35" s="2"/>
      <c r="X35" s="2"/>
      <c r="Y35" s="2"/>
      <c r="Z35" s="2"/>
    </row>
    <row r="36" customFormat="false" ht="15.75" hidden="false" customHeight="true" outlineLevel="0" collapsed="false">
      <c r="A36" s="2"/>
      <c r="B36" s="2"/>
      <c r="C36" s="2"/>
      <c r="D36" s="2"/>
      <c r="E36" s="2"/>
      <c r="F36" s="2"/>
      <c r="G36" s="2"/>
      <c r="H36" s="2"/>
      <c r="I36" s="2"/>
      <c r="J36" s="2"/>
      <c r="K36" s="2"/>
      <c r="L36" s="2"/>
      <c r="M36" s="2"/>
      <c r="N36" s="2"/>
      <c r="O36" s="2"/>
      <c r="P36" s="2"/>
      <c r="Q36" s="2"/>
      <c r="R36" s="2"/>
      <c r="S36" s="2"/>
      <c r="T36" s="2"/>
      <c r="U36" s="2"/>
      <c r="V36" s="2"/>
      <c r="W36" s="2"/>
      <c r="X36" s="2"/>
      <c r="Y36" s="2"/>
      <c r="Z36" s="2"/>
    </row>
    <row r="37" customFormat="false" ht="15.75" hidden="false" customHeight="true" outlineLevel="0" collapsed="false">
      <c r="A37" s="2"/>
      <c r="B37" s="2"/>
      <c r="C37" s="2"/>
      <c r="D37" s="2"/>
      <c r="E37" s="2"/>
      <c r="F37" s="2"/>
      <c r="G37" s="2"/>
      <c r="H37" s="2"/>
      <c r="I37" s="2"/>
      <c r="J37" s="2"/>
      <c r="K37" s="2"/>
      <c r="L37" s="2"/>
      <c r="M37" s="2"/>
      <c r="N37" s="2"/>
      <c r="O37" s="2"/>
      <c r="P37" s="2"/>
      <c r="Q37" s="2"/>
      <c r="R37" s="2"/>
      <c r="S37" s="2"/>
      <c r="T37" s="2"/>
      <c r="U37" s="2"/>
      <c r="V37" s="2"/>
      <c r="W37" s="2"/>
      <c r="X37" s="2"/>
      <c r="Y37" s="2"/>
      <c r="Z37" s="2"/>
    </row>
    <row r="38" customFormat="false" ht="15.75" hidden="false" customHeight="true" outlineLevel="0" collapsed="false">
      <c r="A38" s="2"/>
      <c r="B38" s="2"/>
      <c r="C38" s="2"/>
      <c r="D38" s="2"/>
      <c r="E38" s="2"/>
      <c r="F38" s="2"/>
      <c r="G38" s="2"/>
      <c r="H38" s="2"/>
      <c r="I38" s="2"/>
      <c r="J38" s="2"/>
      <c r="K38" s="2"/>
      <c r="L38" s="2"/>
      <c r="M38" s="2"/>
      <c r="N38" s="2"/>
      <c r="O38" s="2"/>
      <c r="P38" s="2"/>
      <c r="Q38" s="2"/>
      <c r="R38" s="2"/>
      <c r="S38" s="2"/>
      <c r="T38" s="2"/>
      <c r="U38" s="2"/>
      <c r="V38" s="2"/>
      <c r="W38" s="2"/>
      <c r="X38" s="2"/>
      <c r="Y38" s="2"/>
      <c r="Z38" s="2"/>
    </row>
    <row r="39" customFormat="false" ht="15.75" hidden="false" customHeight="true" outlineLevel="0" collapsed="false">
      <c r="A39" s="2"/>
      <c r="B39" s="2"/>
      <c r="C39" s="2"/>
      <c r="D39" s="2"/>
      <c r="E39" s="2"/>
      <c r="F39" s="2"/>
      <c r="G39" s="2"/>
      <c r="H39" s="2"/>
      <c r="I39" s="2"/>
      <c r="J39" s="2"/>
      <c r="K39" s="2"/>
      <c r="L39" s="2"/>
      <c r="M39" s="2"/>
      <c r="N39" s="2"/>
      <c r="O39" s="2"/>
      <c r="P39" s="2"/>
      <c r="Q39" s="2"/>
      <c r="R39" s="2"/>
      <c r="S39" s="2"/>
      <c r="T39" s="2"/>
      <c r="U39" s="2"/>
      <c r="V39" s="2"/>
      <c r="W39" s="2"/>
      <c r="X39" s="2"/>
      <c r="Y39" s="2"/>
      <c r="Z39" s="2"/>
    </row>
    <row r="40" customFormat="false" ht="15.75" hidden="false" customHeight="true" outlineLevel="0" collapsed="false">
      <c r="A40" s="2"/>
      <c r="B40" s="2"/>
      <c r="C40" s="2"/>
      <c r="D40" s="2"/>
      <c r="E40" s="2"/>
      <c r="F40" s="2"/>
      <c r="G40" s="2"/>
      <c r="H40" s="2"/>
      <c r="I40" s="2"/>
      <c r="J40" s="2"/>
      <c r="K40" s="2"/>
      <c r="L40" s="2"/>
      <c r="M40" s="2"/>
      <c r="N40" s="2"/>
      <c r="O40" s="2"/>
      <c r="P40" s="2"/>
      <c r="Q40" s="2"/>
      <c r="R40" s="2"/>
      <c r="S40" s="2"/>
      <c r="T40" s="2"/>
      <c r="U40" s="2"/>
      <c r="V40" s="2"/>
      <c r="W40" s="2"/>
      <c r="X40" s="2"/>
      <c r="Y40" s="2"/>
      <c r="Z40" s="2"/>
    </row>
    <row r="41" customFormat="false" ht="15.75" hidden="false" customHeight="true" outlineLevel="0" collapsed="false">
      <c r="A41" s="2"/>
      <c r="B41" s="2"/>
      <c r="C41" s="2"/>
      <c r="D41" s="2"/>
      <c r="E41" s="2"/>
      <c r="F41" s="2"/>
      <c r="G41" s="2"/>
      <c r="H41" s="2"/>
      <c r="I41" s="2"/>
      <c r="J41" s="2"/>
      <c r="K41" s="2"/>
      <c r="L41" s="2"/>
      <c r="M41" s="2"/>
      <c r="N41" s="2"/>
      <c r="O41" s="2"/>
      <c r="P41" s="2"/>
      <c r="Q41" s="2"/>
      <c r="R41" s="2"/>
      <c r="S41" s="2"/>
      <c r="T41" s="2"/>
      <c r="U41" s="2"/>
      <c r="V41" s="2"/>
      <c r="W41" s="2"/>
      <c r="X41" s="2"/>
      <c r="Y41" s="2"/>
      <c r="Z41" s="2"/>
    </row>
    <row r="42" customFormat="false" ht="15.75" hidden="false" customHeight="true" outlineLevel="0" collapsed="false">
      <c r="A42" s="2"/>
      <c r="B42" s="2"/>
      <c r="C42" s="2"/>
      <c r="D42" s="2"/>
      <c r="E42" s="2"/>
      <c r="F42" s="2"/>
      <c r="G42" s="2"/>
      <c r="H42" s="2"/>
      <c r="I42" s="2"/>
      <c r="J42" s="2"/>
      <c r="K42" s="2"/>
      <c r="L42" s="2"/>
      <c r="M42" s="2"/>
      <c r="N42" s="2"/>
      <c r="O42" s="2"/>
      <c r="P42" s="2"/>
      <c r="Q42" s="2"/>
      <c r="R42" s="2"/>
      <c r="S42" s="2"/>
      <c r="T42" s="2"/>
      <c r="U42" s="2"/>
      <c r="V42" s="2"/>
      <c r="W42" s="2"/>
      <c r="X42" s="2"/>
      <c r="Y42" s="2"/>
      <c r="Z42" s="2"/>
    </row>
    <row r="43" customFormat="false" ht="15.75" hidden="false" customHeight="true" outlineLevel="0" collapsed="false">
      <c r="A43" s="2"/>
      <c r="B43" s="2"/>
      <c r="C43" s="2"/>
      <c r="D43" s="2"/>
      <c r="E43" s="2"/>
      <c r="F43" s="2"/>
      <c r="G43" s="2"/>
      <c r="H43" s="2"/>
      <c r="I43" s="2"/>
      <c r="J43" s="2"/>
      <c r="K43" s="2"/>
      <c r="L43" s="2"/>
      <c r="M43" s="2"/>
      <c r="N43" s="2"/>
      <c r="O43" s="2"/>
      <c r="P43" s="2"/>
      <c r="Q43" s="2"/>
      <c r="R43" s="2"/>
      <c r="S43" s="2"/>
      <c r="T43" s="2"/>
      <c r="U43" s="2"/>
      <c r="V43" s="2"/>
      <c r="W43" s="2"/>
      <c r="X43" s="2"/>
      <c r="Y43" s="2"/>
      <c r="Z43" s="2"/>
    </row>
    <row r="44" customFormat="false" ht="15.75" hidden="false" customHeight="true" outlineLevel="0" collapsed="false">
      <c r="A44" s="2"/>
      <c r="B44" s="2"/>
      <c r="C44" s="2"/>
      <c r="D44" s="2"/>
      <c r="E44" s="2"/>
      <c r="F44" s="2"/>
      <c r="G44" s="2"/>
      <c r="H44" s="2"/>
      <c r="I44" s="2"/>
      <c r="J44" s="2"/>
      <c r="K44" s="2"/>
      <c r="L44" s="2"/>
      <c r="M44" s="2"/>
      <c r="N44" s="2"/>
      <c r="O44" s="2"/>
      <c r="P44" s="2"/>
      <c r="Q44" s="2"/>
      <c r="R44" s="2"/>
      <c r="S44" s="2"/>
      <c r="T44" s="2"/>
      <c r="U44" s="2"/>
      <c r="V44" s="2"/>
      <c r="W44" s="2"/>
      <c r="X44" s="2"/>
      <c r="Y44" s="2"/>
      <c r="Z44" s="2"/>
    </row>
    <row r="45" customFormat="false" ht="15.75" hidden="false" customHeight="true" outlineLevel="0" collapsed="false">
      <c r="A45" s="2"/>
      <c r="B45" s="2"/>
      <c r="C45" s="2"/>
      <c r="D45" s="2"/>
      <c r="E45" s="2"/>
      <c r="F45" s="2"/>
      <c r="G45" s="2"/>
      <c r="H45" s="2"/>
      <c r="I45" s="2"/>
      <c r="J45" s="2"/>
      <c r="K45" s="2"/>
      <c r="L45" s="2"/>
      <c r="M45" s="2"/>
      <c r="N45" s="2"/>
      <c r="O45" s="2"/>
      <c r="P45" s="2"/>
      <c r="Q45" s="2"/>
      <c r="R45" s="2"/>
      <c r="S45" s="2"/>
      <c r="T45" s="2"/>
      <c r="U45" s="2"/>
      <c r="V45" s="2"/>
      <c r="W45" s="2"/>
      <c r="X45" s="2"/>
      <c r="Y45" s="2"/>
      <c r="Z45" s="2"/>
    </row>
    <row r="46" customFormat="false" ht="15.75" hidden="false" customHeight="true" outlineLevel="0" collapsed="false">
      <c r="A46" s="2"/>
      <c r="B46" s="2"/>
      <c r="C46" s="2"/>
      <c r="D46" s="2"/>
      <c r="E46" s="2"/>
      <c r="F46" s="2"/>
      <c r="G46" s="2"/>
      <c r="H46" s="2"/>
      <c r="I46" s="2"/>
      <c r="J46" s="2"/>
      <c r="K46" s="2"/>
      <c r="L46" s="2"/>
      <c r="M46" s="2"/>
      <c r="N46" s="2"/>
      <c r="O46" s="2"/>
      <c r="P46" s="2"/>
      <c r="Q46" s="2"/>
      <c r="R46" s="2"/>
      <c r="S46" s="2"/>
      <c r="T46" s="2"/>
      <c r="U46" s="2"/>
      <c r="V46" s="2"/>
      <c r="W46" s="2"/>
      <c r="X46" s="2"/>
      <c r="Y46" s="2"/>
      <c r="Z46" s="2"/>
    </row>
    <row r="47" customFormat="false" ht="15.75" hidden="false" customHeight="true" outlineLevel="0" collapsed="false">
      <c r="A47" s="2"/>
      <c r="B47" s="2"/>
      <c r="C47" s="2"/>
      <c r="D47" s="2"/>
      <c r="E47" s="2"/>
      <c r="F47" s="2"/>
      <c r="G47" s="2"/>
      <c r="H47" s="2"/>
      <c r="I47" s="2"/>
      <c r="J47" s="2"/>
      <c r="K47" s="2"/>
      <c r="L47" s="2"/>
      <c r="M47" s="2"/>
      <c r="N47" s="2"/>
      <c r="O47" s="2"/>
      <c r="P47" s="2"/>
      <c r="Q47" s="2"/>
      <c r="R47" s="2"/>
      <c r="S47" s="2"/>
      <c r="T47" s="2"/>
      <c r="U47" s="2"/>
      <c r="V47" s="2"/>
      <c r="W47" s="2"/>
      <c r="X47" s="2"/>
      <c r="Y47" s="2"/>
      <c r="Z47" s="2"/>
    </row>
    <row r="48" customFormat="false" ht="15.75" hidden="false" customHeight="true" outlineLevel="0" collapsed="false">
      <c r="A48" s="2"/>
      <c r="B48" s="2"/>
      <c r="C48" s="2"/>
      <c r="D48" s="2"/>
      <c r="E48" s="2"/>
      <c r="F48" s="2"/>
      <c r="G48" s="2"/>
      <c r="H48" s="2"/>
      <c r="I48" s="2"/>
      <c r="J48" s="2"/>
      <c r="K48" s="2"/>
      <c r="L48" s="2"/>
      <c r="M48" s="2"/>
      <c r="N48" s="2"/>
      <c r="O48" s="2"/>
      <c r="P48" s="2"/>
      <c r="Q48" s="2"/>
      <c r="R48" s="2"/>
      <c r="S48" s="2"/>
      <c r="T48" s="2"/>
      <c r="U48" s="2"/>
      <c r="V48" s="2"/>
      <c r="W48" s="2"/>
      <c r="X48" s="2"/>
      <c r="Y48" s="2"/>
      <c r="Z48" s="2"/>
    </row>
    <row r="49" customFormat="false" ht="15.75" hidden="false" customHeight="true" outlineLevel="0" collapsed="false">
      <c r="A49" s="2"/>
      <c r="B49" s="2"/>
      <c r="C49" s="2"/>
      <c r="D49" s="2"/>
      <c r="E49" s="2"/>
      <c r="F49" s="2"/>
      <c r="G49" s="2"/>
      <c r="H49" s="2"/>
      <c r="I49" s="2"/>
      <c r="J49" s="2"/>
      <c r="K49" s="2"/>
      <c r="L49" s="2"/>
      <c r="M49" s="2"/>
      <c r="N49" s="2"/>
      <c r="O49" s="2"/>
      <c r="P49" s="2"/>
      <c r="Q49" s="2"/>
      <c r="R49" s="2"/>
      <c r="S49" s="2"/>
      <c r="T49" s="2"/>
      <c r="U49" s="2"/>
      <c r="V49" s="2"/>
      <c r="W49" s="2"/>
      <c r="X49" s="2"/>
      <c r="Y49" s="2"/>
      <c r="Z49" s="2"/>
    </row>
    <row r="50" customFormat="false" ht="15.75" hidden="false" customHeight="true" outlineLevel="0" collapsed="false">
      <c r="A50" s="2"/>
      <c r="B50" s="2"/>
      <c r="C50" s="2"/>
      <c r="D50" s="2"/>
      <c r="E50" s="2"/>
      <c r="F50" s="2"/>
      <c r="G50" s="2"/>
      <c r="H50" s="2"/>
      <c r="I50" s="2"/>
      <c r="J50" s="2"/>
      <c r="K50" s="2"/>
      <c r="L50" s="2"/>
      <c r="M50" s="2"/>
      <c r="N50" s="2"/>
      <c r="O50" s="2"/>
      <c r="P50" s="2"/>
      <c r="Q50" s="2"/>
      <c r="R50" s="2"/>
      <c r="S50" s="2"/>
      <c r="T50" s="2"/>
      <c r="U50" s="2"/>
      <c r="V50" s="2"/>
      <c r="W50" s="2"/>
      <c r="X50" s="2"/>
      <c r="Y50" s="2"/>
      <c r="Z50" s="2"/>
    </row>
    <row r="51" customFormat="false" ht="15.75" hidden="false" customHeight="true" outlineLevel="0" collapsed="false">
      <c r="A51" s="2"/>
      <c r="B51" s="2"/>
      <c r="C51" s="2"/>
      <c r="D51" s="2"/>
      <c r="E51" s="2"/>
      <c r="F51" s="2"/>
      <c r="G51" s="2"/>
      <c r="H51" s="2"/>
      <c r="I51" s="2"/>
      <c r="J51" s="2"/>
      <c r="K51" s="2"/>
      <c r="L51" s="2"/>
      <c r="M51" s="2"/>
      <c r="N51" s="2"/>
      <c r="O51" s="2"/>
      <c r="P51" s="2"/>
      <c r="Q51" s="2"/>
      <c r="R51" s="2"/>
      <c r="S51" s="2"/>
      <c r="T51" s="2"/>
      <c r="U51" s="2"/>
      <c r="V51" s="2"/>
      <c r="W51" s="2"/>
      <c r="X51" s="2"/>
      <c r="Y51" s="2"/>
      <c r="Z51" s="2"/>
    </row>
    <row r="52" customFormat="false" ht="15.75" hidden="false" customHeight="true" outlineLevel="0" collapsed="false">
      <c r="A52" s="2"/>
      <c r="B52" s="2"/>
      <c r="C52" s="2"/>
      <c r="D52" s="2"/>
      <c r="E52" s="2"/>
      <c r="F52" s="2"/>
      <c r="G52" s="2"/>
      <c r="H52" s="2"/>
      <c r="I52" s="2"/>
      <c r="J52" s="2"/>
      <c r="K52" s="2"/>
      <c r="L52" s="2"/>
      <c r="M52" s="2"/>
      <c r="N52" s="2"/>
      <c r="O52" s="2"/>
      <c r="P52" s="2"/>
      <c r="Q52" s="2"/>
      <c r="R52" s="2"/>
      <c r="S52" s="2"/>
      <c r="T52" s="2"/>
      <c r="U52" s="2"/>
      <c r="V52" s="2"/>
      <c r="W52" s="2"/>
      <c r="X52" s="2"/>
      <c r="Y52" s="2"/>
      <c r="Z52" s="2"/>
    </row>
    <row r="53" customFormat="false" ht="15.75" hidden="false" customHeight="true" outlineLevel="0" collapsed="false">
      <c r="A53" s="2"/>
      <c r="B53" s="2"/>
      <c r="C53" s="2"/>
      <c r="D53" s="2"/>
      <c r="E53" s="2"/>
      <c r="F53" s="2"/>
      <c r="G53" s="2"/>
      <c r="H53" s="2"/>
      <c r="I53" s="2"/>
      <c r="J53" s="2"/>
      <c r="K53" s="2"/>
      <c r="L53" s="2"/>
      <c r="M53" s="2"/>
      <c r="N53" s="2"/>
      <c r="O53" s="2"/>
      <c r="P53" s="2"/>
      <c r="Q53" s="2"/>
      <c r="R53" s="2"/>
      <c r="S53" s="2"/>
      <c r="T53" s="2"/>
      <c r="U53" s="2"/>
      <c r="V53" s="2"/>
      <c r="W53" s="2"/>
      <c r="X53" s="2"/>
      <c r="Y53" s="2"/>
      <c r="Z53" s="2"/>
    </row>
    <row r="54" customFormat="false" ht="15.75" hidden="false" customHeight="true" outlineLevel="0" collapsed="false">
      <c r="A54" s="2"/>
      <c r="B54" s="2"/>
      <c r="C54" s="2"/>
      <c r="D54" s="2"/>
      <c r="E54" s="2"/>
      <c r="F54" s="2"/>
      <c r="G54" s="2"/>
      <c r="H54" s="2"/>
      <c r="I54" s="2"/>
      <c r="J54" s="2"/>
      <c r="K54" s="2"/>
      <c r="L54" s="2"/>
      <c r="M54" s="2"/>
      <c r="N54" s="2"/>
      <c r="O54" s="2"/>
      <c r="P54" s="2"/>
      <c r="Q54" s="2"/>
      <c r="R54" s="2"/>
      <c r="S54" s="2"/>
      <c r="T54" s="2"/>
      <c r="U54" s="2"/>
      <c r="V54" s="2"/>
      <c r="W54" s="2"/>
      <c r="X54" s="2"/>
      <c r="Y54" s="2"/>
      <c r="Z54" s="2"/>
    </row>
    <row r="55" customFormat="false" ht="15.75" hidden="false" customHeight="true" outlineLevel="0" collapsed="false">
      <c r="A55" s="2"/>
      <c r="B55" s="2"/>
      <c r="C55" s="2"/>
      <c r="D55" s="2"/>
      <c r="E55" s="2"/>
      <c r="F55" s="2"/>
      <c r="G55" s="2"/>
      <c r="H55" s="2"/>
      <c r="I55" s="2"/>
      <c r="J55" s="2"/>
      <c r="K55" s="2"/>
      <c r="L55" s="2"/>
      <c r="M55" s="2"/>
      <c r="N55" s="2"/>
      <c r="O55" s="2"/>
      <c r="P55" s="2"/>
      <c r="Q55" s="2"/>
      <c r="R55" s="2"/>
      <c r="S55" s="2"/>
      <c r="T55" s="2"/>
      <c r="U55" s="2"/>
      <c r="V55" s="2"/>
      <c r="W55" s="2"/>
      <c r="X55" s="2"/>
      <c r="Y55" s="2"/>
      <c r="Z55" s="2"/>
    </row>
    <row r="56" customFormat="false" ht="15.75" hidden="false" customHeight="true" outlineLevel="0" collapsed="false">
      <c r="A56" s="2"/>
      <c r="B56" s="2"/>
      <c r="C56" s="2"/>
      <c r="D56" s="2"/>
      <c r="E56" s="2"/>
      <c r="F56" s="2"/>
      <c r="G56" s="2"/>
      <c r="H56" s="2"/>
      <c r="I56" s="2"/>
      <c r="J56" s="2"/>
      <c r="K56" s="2"/>
      <c r="L56" s="2"/>
      <c r="M56" s="2"/>
      <c r="N56" s="2"/>
      <c r="O56" s="2"/>
      <c r="P56" s="2"/>
      <c r="Q56" s="2"/>
      <c r="R56" s="2"/>
      <c r="S56" s="2"/>
      <c r="T56" s="2"/>
      <c r="U56" s="2"/>
      <c r="V56" s="2"/>
      <c r="W56" s="2"/>
      <c r="X56" s="2"/>
      <c r="Y56" s="2"/>
      <c r="Z56" s="2"/>
    </row>
    <row r="57" customFormat="false" ht="15.75" hidden="false" customHeight="true" outlineLevel="0" collapsed="false">
      <c r="A57" s="2"/>
      <c r="B57" s="2"/>
      <c r="C57" s="2"/>
      <c r="D57" s="2"/>
      <c r="E57" s="2"/>
      <c r="F57" s="2"/>
      <c r="G57" s="2"/>
      <c r="H57" s="2"/>
      <c r="I57" s="2"/>
      <c r="J57" s="2"/>
      <c r="K57" s="2"/>
      <c r="L57" s="2"/>
      <c r="M57" s="2"/>
      <c r="N57" s="2"/>
      <c r="O57" s="2"/>
      <c r="P57" s="2"/>
      <c r="Q57" s="2"/>
      <c r="R57" s="2"/>
      <c r="S57" s="2"/>
      <c r="T57" s="2"/>
      <c r="U57" s="2"/>
      <c r="V57" s="2"/>
      <c r="W57" s="2"/>
      <c r="X57" s="2"/>
      <c r="Y57" s="2"/>
      <c r="Z57" s="2"/>
    </row>
    <row r="58" customFormat="false" ht="15.75" hidden="false" customHeight="true" outlineLevel="0" collapsed="false">
      <c r="A58" s="2"/>
      <c r="B58" s="2"/>
      <c r="C58" s="2"/>
      <c r="D58" s="2"/>
      <c r="E58" s="2"/>
      <c r="F58" s="2"/>
      <c r="G58" s="2"/>
      <c r="H58" s="2"/>
      <c r="I58" s="2"/>
      <c r="J58" s="2"/>
      <c r="K58" s="2"/>
      <c r="L58" s="2"/>
      <c r="M58" s="2"/>
      <c r="N58" s="2"/>
      <c r="O58" s="2"/>
      <c r="P58" s="2"/>
      <c r="Q58" s="2"/>
      <c r="R58" s="2"/>
      <c r="S58" s="2"/>
      <c r="T58" s="2"/>
      <c r="U58" s="2"/>
      <c r="V58" s="2"/>
      <c r="W58" s="2"/>
      <c r="X58" s="2"/>
      <c r="Y58" s="2"/>
      <c r="Z58" s="2"/>
    </row>
    <row r="59" customFormat="false" ht="15.75" hidden="false" customHeight="true" outlineLevel="0" collapsed="false">
      <c r="A59" s="2"/>
      <c r="B59" s="2"/>
      <c r="C59" s="2"/>
      <c r="D59" s="2"/>
      <c r="E59" s="2"/>
      <c r="F59" s="2"/>
      <c r="G59" s="2"/>
      <c r="H59" s="2"/>
      <c r="I59" s="2"/>
      <c r="J59" s="2"/>
      <c r="K59" s="2"/>
      <c r="L59" s="2"/>
      <c r="M59" s="2"/>
      <c r="N59" s="2"/>
      <c r="O59" s="2"/>
      <c r="P59" s="2"/>
      <c r="Q59" s="2"/>
      <c r="R59" s="2"/>
      <c r="S59" s="2"/>
      <c r="T59" s="2"/>
      <c r="U59" s="2"/>
      <c r="V59" s="2"/>
      <c r="W59" s="2"/>
      <c r="X59" s="2"/>
      <c r="Y59" s="2"/>
      <c r="Z59" s="2"/>
    </row>
    <row r="60" customFormat="false" ht="15.75" hidden="false" customHeight="true" outlineLevel="0" collapsed="false">
      <c r="A60" s="2"/>
      <c r="B60" s="2"/>
      <c r="C60" s="2"/>
      <c r="D60" s="2"/>
      <c r="E60" s="2"/>
      <c r="F60" s="2"/>
      <c r="G60" s="2"/>
      <c r="H60" s="2"/>
      <c r="I60" s="2"/>
      <c r="J60" s="2"/>
      <c r="K60" s="2"/>
      <c r="L60" s="2"/>
      <c r="M60" s="2"/>
      <c r="N60" s="2"/>
      <c r="O60" s="2"/>
      <c r="P60" s="2"/>
      <c r="Q60" s="2"/>
      <c r="R60" s="2"/>
      <c r="S60" s="2"/>
      <c r="T60" s="2"/>
      <c r="U60" s="2"/>
      <c r="V60" s="2"/>
      <c r="W60" s="2"/>
      <c r="X60" s="2"/>
      <c r="Y60" s="2"/>
      <c r="Z60" s="2"/>
    </row>
    <row r="61" customFormat="false" ht="15.75" hidden="false" customHeight="true" outlineLevel="0" collapsed="false">
      <c r="A61" s="2"/>
      <c r="B61" s="2"/>
      <c r="C61" s="2"/>
      <c r="D61" s="2"/>
      <c r="E61" s="2"/>
      <c r="F61" s="2"/>
      <c r="G61" s="2"/>
      <c r="H61" s="2"/>
      <c r="I61" s="2"/>
      <c r="J61" s="2"/>
      <c r="K61" s="2"/>
      <c r="L61" s="2"/>
      <c r="M61" s="2"/>
      <c r="N61" s="2"/>
      <c r="O61" s="2"/>
      <c r="P61" s="2"/>
      <c r="Q61" s="2"/>
      <c r="R61" s="2"/>
      <c r="S61" s="2"/>
      <c r="T61" s="2"/>
      <c r="U61" s="2"/>
      <c r="V61" s="2"/>
      <c r="W61" s="2"/>
      <c r="X61" s="2"/>
      <c r="Y61" s="2"/>
      <c r="Z61" s="2"/>
    </row>
    <row r="62" customFormat="false" ht="15.75" hidden="false" customHeight="true" outlineLevel="0" collapsed="false">
      <c r="A62" s="2"/>
      <c r="B62" s="2"/>
      <c r="C62" s="2"/>
      <c r="D62" s="2"/>
      <c r="E62" s="2"/>
      <c r="F62" s="2"/>
      <c r="G62" s="2"/>
      <c r="H62" s="2"/>
      <c r="I62" s="2"/>
      <c r="J62" s="2"/>
      <c r="K62" s="2"/>
      <c r="L62" s="2"/>
      <c r="M62" s="2"/>
      <c r="N62" s="2"/>
      <c r="O62" s="2"/>
      <c r="P62" s="2"/>
      <c r="Q62" s="2"/>
      <c r="R62" s="2"/>
      <c r="S62" s="2"/>
      <c r="T62" s="2"/>
      <c r="U62" s="2"/>
      <c r="V62" s="2"/>
      <c r="W62" s="2"/>
      <c r="X62" s="2"/>
      <c r="Y62" s="2"/>
      <c r="Z62" s="2"/>
    </row>
    <row r="63" customFormat="false" ht="15.75" hidden="false" customHeight="true" outlineLevel="0" collapsed="false">
      <c r="A63" s="2"/>
      <c r="B63" s="2"/>
      <c r="C63" s="2"/>
      <c r="D63" s="2"/>
      <c r="E63" s="2"/>
      <c r="F63" s="2"/>
      <c r="G63" s="2"/>
      <c r="H63" s="2"/>
      <c r="I63" s="2"/>
      <c r="J63" s="2"/>
      <c r="K63" s="2"/>
      <c r="L63" s="2"/>
      <c r="M63" s="2"/>
      <c r="N63" s="2"/>
      <c r="O63" s="2"/>
      <c r="P63" s="2"/>
      <c r="Q63" s="2"/>
      <c r="R63" s="2"/>
      <c r="S63" s="2"/>
      <c r="T63" s="2"/>
      <c r="U63" s="2"/>
      <c r="V63" s="2"/>
      <c r="W63" s="2"/>
      <c r="X63" s="2"/>
      <c r="Y63" s="2"/>
      <c r="Z63" s="2"/>
    </row>
    <row r="64" customFormat="false" ht="15.75" hidden="false" customHeight="true" outlineLevel="0" collapsed="false">
      <c r="A64" s="2"/>
      <c r="B64" s="2"/>
      <c r="C64" s="2"/>
      <c r="D64" s="2"/>
      <c r="E64" s="2"/>
      <c r="F64" s="2"/>
      <c r="G64" s="2"/>
      <c r="H64" s="2"/>
      <c r="I64" s="2"/>
      <c r="J64" s="2"/>
      <c r="K64" s="2"/>
      <c r="L64" s="2"/>
      <c r="M64" s="2"/>
      <c r="N64" s="2"/>
      <c r="O64" s="2"/>
      <c r="P64" s="2"/>
      <c r="Q64" s="2"/>
      <c r="R64" s="2"/>
      <c r="S64" s="2"/>
      <c r="T64" s="2"/>
      <c r="U64" s="2"/>
      <c r="V64" s="2"/>
      <c r="W64" s="2"/>
      <c r="X64" s="2"/>
      <c r="Y64" s="2"/>
      <c r="Z64" s="2"/>
    </row>
    <row r="65" customFormat="false" ht="15.75" hidden="false" customHeight="true" outlineLevel="0" collapsed="false">
      <c r="A65" s="2"/>
      <c r="B65" s="2"/>
      <c r="C65" s="2"/>
      <c r="D65" s="2"/>
      <c r="E65" s="2"/>
      <c r="F65" s="2"/>
      <c r="G65" s="2"/>
      <c r="H65" s="2"/>
      <c r="I65" s="2"/>
      <c r="J65" s="2"/>
      <c r="K65" s="2"/>
      <c r="L65" s="2"/>
      <c r="M65" s="2"/>
      <c r="N65" s="2"/>
      <c r="O65" s="2"/>
      <c r="P65" s="2"/>
      <c r="Q65" s="2"/>
      <c r="R65" s="2"/>
      <c r="S65" s="2"/>
      <c r="T65" s="2"/>
      <c r="U65" s="2"/>
      <c r="V65" s="2"/>
      <c r="W65" s="2"/>
      <c r="X65" s="2"/>
      <c r="Y65" s="2"/>
      <c r="Z65" s="2"/>
    </row>
    <row r="66" customFormat="false" ht="15.75" hidden="false" customHeight="true" outlineLevel="0" collapsed="false">
      <c r="A66" s="2"/>
      <c r="B66" s="2"/>
      <c r="C66" s="2"/>
      <c r="D66" s="2"/>
      <c r="E66" s="2"/>
      <c r="F66" s="2"/>
      <c r="G66" s="2"/>
      <c r="H66" s="2"/>
      <c r="I66" s="2"/>
      <c r="J66" s="2"/>
      <c r="K66" s="2"/>
      <c r="L66" s="2"/>
      <c r="M66" s="2"/>
      <c r="N66" s="2"/>
      <c r="O66" s="2"/>
      <c r="P66" s="2"/>
      <c r="Q66" s="2"/>
      <c r="R66" s="2"/>
      <c r="S66" s="2"/>
      <c r="T66" s="2"/>
      <c r="U66" s="2"/>
      <c r="V66" s="2"/>
      <c r="W66" s="2"/>
      <c r="X66" s="2"/>
      <c r="Y66" s="2"/>
      <c r="Z66" s="2"/>
    </row>
    <row r="67" customFormat="false" ht="15.75" hidden="false" customHeight="true" outlineLevel="0" collapsed="false">
      <c r="A67" s="2"/>
      <c r="B67" s="2"/>
      <c r="C67" s="2"/>
      <c r="D67" s="2"/>
      <c r="E67" s="2"/>
      <c r="F67" s="2"/>
      <c r="G67" s="2"/>
      <c r="H67" s="2"/>
      <c r="I67" s="2"/>
      <c r="J67" s="2"/>
      <c r="K67" s="2"/>
      <c r="L67" s="2"/>
      <c r="M67" s="2"/>
      <c r="N67" s="2"/>
      <c r="O67" s="2"/>
      <c r="P67" s="2"/>
      <c r="Q67" s="2"/>
      <c r="R67" s="2"/>
      <c r="S67" s="2"/>
      <c r="T67" s="2"/>
      <c r="U67" s="2"/>
      <c r="V67" s="2"/>
      <c r="W67" s="2"/>
      <c r="X67" s="2"/>
      <c r="Y67" s="2"/>
      <c r="Z67" s="2"/>
    </row>
    <row r="68" customFormat="false" ht="15.75" hidden="false" customHeight="true" outlineLevel="0" collapsed="false">
      <c r="A68" s="2"/>
      <c r="B68" s="2"/>
      <c r="C68" s="2"/>
      <c r="D68" s="2"/>
      <c r="E68" s="2"/>
      <c r="F68" s="2"/>
      <c r="G68" s="2"/>
      <c r="H68" s="2"/>
      <c r="I68" s="2"/>
      <c r="J68" s="2"/>
      <c r="K68" s="2"/>
      <c r="L68" s="2"/>
      <c r="M68" s="2"/>
      <c r="N68" s="2"/>
      <c r="O68" s="2"/>
      <c r="P68" s="2"/>
      <c r="Q68" s="2"/>
      <c r="R68" s="2"/>
      <c r="S68" s="2"/>
      <c r="T68" s="2"/>
      <c r="U68" s="2"/>
      <c r="V68" s="2"/>
      <c r="W68" s="2"/>
      <c r="X68" s="2"/>
      <c r="Y68" s="2"/>
      <c r="Z68" s="2"/>
    </row>
    <row r="69" customFormat="false" ht="15.75" hidden="false" customHeight="true" outlineLevel="0" collapsed="false">
      <c r="A69" s="2"/>
      <c r="B69" s="2"/>
      <c r="C69" s="2"/>
      <c r="D69" s="2"/>
      <c r="E69" s="2"/>
      <c r="F69" s="2"/>
      <c r="G69" s="2"/>
      <c r="H69" s="2"/>
      <c r="I69" s="2"/>
      <c r="J69" s="2"/>
      <c r="K69" s="2"/>
      <c r="L69" s="2"/>
      <c r="M69" s="2"/>
      <c r="N69" s="2"/>
      <c r="O69" s="2"/>
      <c r="P69" s="2"/>
      <c r="Q69" s="2"/>
      <c r="R69" s="2"/>
      <c r="S69" s="2"/>
      <c r="T69" s="2"/>
      <c r="U69" s="2"/>
      <c r="V69" s="2"/>
      <c r="W69" s="2"/>
      <c r="X69" s="2"/>
      <c r="Y69" s="2"/>
      <c r="Z69" s="2"/>
    </row>
    <row r="70" customFormat="false" ht="15.75" hidden="false" customHeight="true" outlineLevel="0" collapsed="false">
      <c r="A70" s="2"/>
      <c r="B70" s="2"/>
      <c r="C70" s="2"/>
      <c r="D70" s="2"/>
      <c r="E70" s="2"/>
      <c r="F70" s="2"/>
      <c r="G70" s="2"/>
      <c r="H70" s="2"/>
      <c r="I70" s="2"/>
      <c r="J70" s="2"/>
      <c r="K70" s="2"/>
      <c r="L70" s="2"/>
      <c r="M70" s="2"/>
      <c r="N70" s="2"/>
      <c r="O70" s="2"/>
      <c r="P70" s="2"/>
      <c r="Q70" s="2"/>
      <c r="R70" s="2"/>
      <c r="S70" s="2"/>
      <c r="T70" s="2"/>
      <c r="U70" s="2"/>
      <c r="V70" s="2"/>
      <c r="W70" s="2"/>
      <c r="X70" s="2"/>
      <c r="Y70" s="2"/>
      <c r="Z70" s="2"/>
    </row>
    <row r="71" customFormat="false" ht="15.75" hidden="false" customHeight="true" outlineLevel="0" collapsed="false">
      <c r="A71" s="2"/>
      <c r="B71" s="2"/>
      <c r="C71" s="2"/>
      <c r="D71" s="2"/>
      <c r="E71" s="2"/>
      <c r="F71" s="2"/>
      <c r="G71" s="2"/>
      <c r="H71" s="2"/>
      <c r="I71" s="2"/>
      <c r="J71" s="2"/>
      <c r="K71" s="2"/>
      <c r="L71" s="2"/>
      <c r="M71" s="2"/>
      <c r="N71" s="2"/>
      <c r="O71" s="2"/>
      <c r="P71" s="2"/>
      <c r="Q71" s="2"/>
      <c r="R71" s="2"/>
      <c r="S71" s="2"/>
      <c r="T71" s="2"/>
      <c r="U71" s="2"/>
      <c r="V71" s="2"/>
      <c r="W71" s="2"/>
      <c r="X71" s="2"/>
      <c r="Y71" s="2"/>
      <c r="Z71" s="2"/>
    </row>
    <row r="72" customFormat="false" ht="15.75" hidden="false" customHeight="true" outlineLevel="0" collapsed="false">
      <c r="A72" s="2"/>
      <c r="B72" s="2"/>
      <c r="C72" s="2"/>
      <c r="D72" s="2"/>
      <c r="E72" s="2"/>
      <c r="F72" s="2"/>
      <c r="G72" s="2"/>
      <c r="H72" s="2"/>
      <c r="I72" s="2"/>
      <c r="J72" s="2"/>
      <c r="K72" s="2"/>
      <c r="L72" s="2"/>
      <c r="M72" s="2"/>
      <c r="N72" s="2"/>
      <c r="O72" s="2"/>
      <c r="P72" s="2"/>
      <c r="Q72" s="2"/>
      <c r="R72" s="2"/>
      <c r="S72" s="2"/>
      <c r="T72" s="2"/>
      <c r="U72" s="2"/>
      <c r="V72" s="2"/>
      <c r="W72" s="2"/>
      <c r="X72" s="2"/>
      <c r="Y72" s="2"/>
      <c r="Z72" s="2"/>
    </row>
    <row r="73" customFormat="false" ht="15.75" hidden="false" customHeight="true" outlineLevel="0" collapsed="false">
      <c r="A73" s="2"/>
      <c r="B73" s="2"/>
      <c r="C73" s="2"/>
      <c r="D73" s="2"/>
      <c r="E73" s="2"/>
      <c r="F73" s="2"/>
      <c r="G73" s="2"/>
      <c r="H73" s="2"/>
      <c r="I73" s="2"/>
      <c r="J73" s="2"/>
      <c r="K73" s="2"/>
      <c r="L73" s="2"/>
      <c r="M73" s="2"/>
      <c r="N73" s="2"/>
      <c r="O73" s="2"/>
      <c r="P73" s="2"/>
      <c r="Q73" s="2"/>
      <c r="R73" s="2"/>
      <c r="S73" s="2"/>
      <c r="T73" s="2"/>
      <c r="U73" s="2"/>
      <c r="V73" s="2"/>
      <c r="W73" s="2"/>
      <c r="X73" s="2"/>
      <c r="Y73" s="2"/>
      <c r="Z73" s="2"/>
    </row>
    <row r="74" customFormat="false" ht="15.75" hidden="false" customHeight="true" outlineLevel="0" collapsed="false">
      <c r="A74" s="2"/>
      <c r="B74" s="2"/>
      <c r="C74" s="2"/>
      <c r="D74" s="2"/>
      <c r="E74" s="2"/>
      <c r="F74" s="2"/>
      <c r="G74" s="2"/>
      <c r="H74" s="2"/>
      <c r="I74" s="2"/>
      <c r="J74" s="2"/>
      <c r="K74" s="2"/>
      <c r="L74" s="2"/>
      <c r="M74" s="2"/>
      <c r="N74" s="2"/>
      <c r="O74" s="2"/>
      <c r="P74" s="2"/>
      <c r="Q74" s="2"/>
      <c r="R74" s="2"/>
      <c r="S74" s="2"/>
      <c r="T74" s="2"/>
      <c r="U74" s="2"/>
      <c r="V74" s="2"/>
      <c r="W74" s="2"/>
      <c r="X74" s="2"/>
      <c r="Y74" s="2"/>
      <c r="Z74" s="2"/>
    </row>
    <row r="75" customFormat="false" ht="15.75" hidden="false" customHeight="true" outlineLevel="0" collapsed="false">
      <c r="A75" s="2"/>
      <c r="B75" s="2"/>
      <c r="C75" s="2"/>
      <c r="D75" s="2"/>
      <c r="E75" s="2"/>
      <c r="F75" s="2"/>
      <c r="G75" s="2"/>
      <c r="H75" s="2"/>
      <c r="I75" s="2"/>
      <c r="J75" s="2"/>
      <c r="K75" s="2"/>
      <c r="L75" s="2"/>
      <c r="M75" s="2"/>
      <c r="N75" s="2"/>
      <c r="O75" s="2"/>
      <c r="P75" s="2"/>
      <c r="Q75" s="2"/>
      <c r="R75" s="2"/>
      <c r="S75" s="2"/>
      <c r="T75" s="2"/>
      <c r="U75" s="2"/>
      <c r="V75" s="2"/>
      <c r="W75" s="2"/>
      <c r="X75" s="2"/>
      <c r="Y75" s="2"/>
      <c r="Z75" s="2"/>
    </row>
    <row r="76" customFormat="false" ht="15.75" hidden="false" customHeight="true" outlineLevel="0" collapsed="false">
      <c r="A76" s="2"/>
      <c r="B76" s="2"/>
      <c r="C76" s="2"/>
      <c r="D76" s="2"/>
      <c r="E76" s="2"/>
      <c r="F76" s="2"/>
      <c r="G76" s="2"/>
      <c r="H76" s="2"/>
      <c r="I76" s="2"/>
      <c r="J76" s="2"/>
      <c r="K76" s="2"/>
      <c r="L76" s="2"/>
      <c r="M76" s="2"/>
      <c r="N76" s="2"/>
      <c r="O76" s="2"/>
      <c r="P76" s="2"/>
      <c r="Q76" s="2"/>
      <c r="R76" s="2"/>
      <c r="S76" s="2"/>
      <c r="T76" s="2"/>
      <c r="U76" s="2"/>
      <c r="V76" s="2"/>
      <c r="W76" s="2"/>
      <c r="X76" s="2"/>
      <c r="Y76" s="2"/>
      <c r="Z76" s="2"/>
    </row>
    <row r="77" customFormat="false" ht="15.75" hidden="false" customHeight="true" outlineLevel="0" collapsed="false">
      <c r="A77" s="2"/>
      <c r="B77" s="2"/>
      <c r="C77" s="2"/>
      <c r="D77" s="2"/>
      <c r="E77" s="2"/>
      <c r="F77" s="2"/>
      <c r="G77" s="2"/>
      <c r="H77" s="2"/>
      <c r="I77" s="2"/>
      <c r="J77" s="2"/>
      <c r="K77" s="2"/>
      <c r="L77" s="2"/>
      <c r="M77" s="2"/>
      <c r="N77" s="2"/>
      <c r="O77" s="2"/>
      <c r="P77" s="2"/>
      <c r="Q77" s="2"/>
      <c r="R77" s="2"/>
      <c r="S77" s="2"/>
      <c r="T77" s="2"/>
      <c r="U77" s="2"/>
      <c r="V77" s="2"/>
      <c r="W77" s="2"/>
      <c r="X77" s="2"/>
      <c r="Y77" s="2"/>
      <c r="Z77" s="2"/>
    </row>
    <row r="78" customFormat="false" ht="15.75" hidden="false" customHeight="true" outlineLevel="0" collapsed="false">
      <c r="A78" s="2"/>
      <c r="B78" s="2"/>
      <c r="C78" s="2"/>
      <c r="D78" s="2"/>
      <c r="E78" s="2"/>
      <c r="F78" s="2"/>
      <c r="G78" s="2"/>
      <c r="H78" s="2"/>
      <c r="I78" s="2"/>
      <c r="J78" s="2"/>
      <c r="K78" s="2"/>
      <c r="L78" s="2"/>
      <c r="M78" s="2"/>
      <c r="N78" s="2"/>
      <c r="O78" s="2"/>
      <c r="P78" s="2"/>
      <c r="Q78" s="2"/>
      <c r="R78" s="2"/>
      <c r="S78" s="2"/>
      <c r="T78" s="2"/>
      <c r="U78" s="2"/>
      <c r="V78" s="2"/>
      <c r="W78" s="2"/>
      <c r="X78" s="2"/>
      <c r="Y78" s="2"/>
      <c r="Z78" s="2"/>
    </row>
    <row r="79" customFormat="false" ht="15.75" hidden="false" customHeight="true" outlineLevel="0" collapsed="false">
      <c r="A79" s="2"/>
      <c r="B79" s="2"/>
      <c r="C79" s="2"/>
      <c r="D79" s="2"/>
      <c r="E79" s="2"/>
      <c r="F79" s="2"/>
      <c r="G79" s="2"/>
      <c r="H79" s="2"/>
      <c r="I79" s="2"/>
      <c r="J79" s="2"/>
      <c r="K79" s="2"/>
      <c r="L79" s="2"/>
      <c r="M79" s="2"/>
      <c r="N79" s="2"/>
      <c r="O79" s="2"/>
      <c r="P79" s="2"/>
      <c r="Q79" s="2"/>
      <c r="R79" s="2"/>
      <c r="S79" s="2"/>
      <c r="T79" s="2"/>
      <c r="U79" s="2"/>
      <c r="V79" s="2"/>
      <c r="W79" s="2"/>
      <c r="X79" s="2"/>
      <c r="Y79" s="2"/>
      <c r="Z79" s="2"/>
    </row>
    <row r="80" customFormat="false" ht="15.75" hidden="false" customHeight="true" outlineLevel="0" collapsed="false">
      <c r="A80" s="2"/>
      <c r="B80" s="2"/>
      <c r="C80" s="2"/>
      <c r="D80" s="2"/>
      <c r="E80" s="2"/>
      <c r="F80" s="2"/>
      <c r="G80" s="2"/>
      <c r="H80" s="2"/>
      <c r="I80" s="2"/>
      <c r="J80" s="2"/>
      <c r="K80" s="2"/>
      <c r="L80" s="2"/>
      <c r="M80" s="2"/>
      <c r="N80" s="2"/>
      <c r="O80" s="2"/>
      <c r="P80" s="2"/>
      <c r="Q80" s="2"/>
      <c r="R80" s="2"/>
      <c r="S80" s="2"/>
      <c r="T80" s="2"/>
      <c r="U80" s="2"/>
      <c r="V80" s="2"/>
      <c r="W80" s="2"/>
      <c r="X80" s="2"/>
      <c r="Y80" s="2"/>
      <c r="Z80" s="2"/>
    </row>
    <row r="81" customFormat="false" ht="15.75" hidden="false" customHeight="true" outlineLevel="0" collapsed="false">
      <c r="A81" s="2"/>
      <c r="B81" s="2"/>
      <c r="C81" s="2"/>
      <c r="D81" s="2"/>
      <c r="E81" s="2"/>
      <c r="F81" s="2"/>
      <c r="G81" s="2"/>
      <c r="H81" s="2"/>
      <c r="I81" s="2"/>
      <c r="J81" s="2"/>
      <c r="K81" s="2"/>
      <c r="L81" s="2"/>
      <c r="M81" s="2"/>
      <c r="N81" s="2"/>
      <c r="O81" s="2"/>
      <c r="P81" s="2"/>
      <c r="Q81" s="2"/>
      <c r="R81" s="2"/>
      <c r="S81" s="2"/>
      <c r="T81" s="2"/>
      <c r="U81" s="2"/>
      <c r="V81" s="2"/>
      <c r="W81" s="2"/>
      <c r="X81" s="2"/>
      <c r="Y81" s="2"/>
      <c r="Z81" s="2"/>
    </row>
    <row r="82" customFormat="false" ht="15.75" hidden="false" customHeight="true" outlineLevel="0" collapsed="false">
      <c r="A82" s="2"/>
      <c r="B82" s="2"/>
      <c r="C82" s="2"/>
      <c r="D82" s="2"/>
      <c r="E82" s="2"/>
      <c r="F82" s="2"/>
      <c r="G82" s="2"/>
      <c r="H82" s="2"/>
      <c r="I82" s="2"/>
      <c r="J82" s="2"/>
      <c r="K82" s="2"/>
      <c r="L82" s="2"/>
      <c r="M82" s="2"/>
      <c r="N82" s="2"/>
      <c r="O82" s="2"/>
      <c r="P82" s="2"/>
      <c r="Q82" s="2"/>
      <c r="R82" s="2"/>
      <c r="S82" s="2"/>
      <c r="T82" s="2"/>
      <c r="U82" s="2"/>
      <c r="V82" s="2"/>
      <c r="W82" s="2"/>
      <c r="X82" s="2"/>
      <c r="Y82" s="2"/>
      <c r="Z82" s="2"/>
    </row>
    <row r="83" customFormat="false" ht="15.75" hidden="false" customHeight="true" outlineLevel="0" collapsed="false">
      <c r="A83" s="2"/>
      <c r="B83" s="2"/>
      <c r="C83" s="2"/>
      <c r="D83" s="2"/>
      <c r="E83" s="2"/>
      <c r="F83" s="2"/>
      <c r="G83" s="2"/>
      <c r="H83" s="2"/>
      <c r="I83" s="2"/>
      <c r="J83" s="2"/>
      <c r="K83" s="2"/>
      <c r="L83" s="2"/>
      <c r="M83" s="2"/>
      <c r="N83" s="2"/>
      <c r="O83" s="2"/>
      <c r="P83" s="2"/>
      <c r="Q83" s="2"/>
      <c r="R83" s="2"/>
      <c r="S83" s="2"/>
      <c r="T83" s="2"/>
      <c r="U83" s="2"/>
      <c r="V83" s="2"/>
      <c r="W83" s="2"/>
      <c r="X83" s="2"/>
      <c r="Y83" s="2"/>
      <c r="Z83" s="2"/>
    </row>
    <row r="84" customFormat="false" ht="15.75" hidden="false" customHeight="true" outlineLevel="0" collapsed="false">
      <c r="A84" s="2"/>
      <c r="B84" s="2"/>
      <c r="C84" s="2"/>
      <c r="D84" s="2"/>
      <c r="E84" s="2"/>
      <c r="F84" s="2"/>
      <c r="G84" s="2"/>
      <c r="H84" s="2"/>
      <c r="I84" s="2"/>
      <c r="J84" s="2"/>
      <c r="K84" s="2"/>
      <c r="L84" s="2"/>
      <c r="M84" s="2"/>
      <c r="N84" s="2"/>
      <c r="O84" s="2"/>
      <c r="P84" s="2"/>
      <c r="Q84" s="2"/>
      <c r="R84" s="2"/>
      <c r="S84" s="2"/>
      <c r="T84" s="2"/>
      <c r="U84" s="2"/>
      <c r="V84" s="2"/>
      <c r="W84" s="2"/>
      <c r="X84" s="2"/>
      <c r="Y84" s="2"/>
      <c r="Z84" s="2"/>
    </row>
    <row r="85" customFormat="false" ht="15.75" hidden="false" customHeight="true" outlineLevel="0" collapsed="false">
      <c r="A85" s="2"/>
      <c r="B85" s="2"/>
      <c r="C85" s="2"/>
      <c r="D85" s="2"/>
      <c r="E85" s="2"/>
      <c r="F85" s="2"/>
      <c r="G85" s="2"/>
      <c r="H85" s="2"/>
      <c r="I85" s="2"/>
      <c r="J85" s="2"/>
      <c r="K85" s="2"/>
      <c r="L85" s="2"/>
      <c r="M85" s="2"/>
      <c r="N85" s="2"/>
      <c r="O85" s="2"/>
      <c r="P85" s="2"/>
      <c r="Q85" s="2"/>
      <c r="R85" s="2"/>
      <c r="S85" s="2"/>
      <c r="T85" s="2"/>
      <c r="U85" s="2"/>
      <c r="V85" s="2"/>
      <c r="W85" s="2"/>
      <c r="X85" s="2"/>
      <c r="Y85" s="2"/>
      <c r="Z85" s="2"/>
    </row>
    <row r="86" customFormat="false" ht="15.75" hidden="false" customHeight="true" outlineLevel="0" collapsed="false">
      <c r="A86" s="2"/>
      <c r="B86" s="2"/>
      <c r="C86" s="2"/>
      <c r="D86" s="2"/>
      <c r="E86" s="2"/>
      <c r="F86" s="2"/>
      <c r="G86" s="2"/>
      <c r="H86" s="2"/>
      <c r="I86" s="2"/>
      <c r="J86" s="2"/>
      <c r="K86" s="2"/>
      <c r="L86" s="2"/>
      <c r="M86" s="2"/>
      <c r="N86" s="2"/>
      <c r="O86" s="2"/>
      <c r="P86" s="2"/>
      <c r="Q86" s="2"/>
      <c r="R86" s="2"/>
      <c r="S86" s="2"/>
      <c r="T86" s="2"/>
      <c r="U86" s="2"/>
      <c r="V86" s="2"/>
      <c r="W86" s="2"/>
      <c r="X86" s="2"/>
      <c r="Y86" s="2"/>
      <c r="Z86" s="2"/>
    </row>
    <row r="87" customFormat="false" ht="15.75" hidden="false" customHeight="true" outlineLevel="0" collapsed="false">
      <c r="A87" s="2"/>
      <c r="B87" s="2"/>
      <c r="C87" s="2"/>
      <c r="D87" s="2"/>
      <c r="E87" s="2"/>
      <c r="F87" s="2"/>
      <c r="G87" s="2"/>
      <c r="H87" s="2"/>
      <c r="I87" s="2"/>
      <c r="J87" s="2"/>
      <c r="K87" s="2"/>
      <c r="L87" s="2"/>
      <c r="M87" s="2"/>
      <c r="N87" s="2"/>
      <c r="O87" s="2"/>
      <c r="P87" s="2"/>
      <c r="Q87" s="2"/>
      <c r="R87" s="2"/>
      <c r="S87" s="2"/>
      <c r="T87" s="2"/>
      <c r="U87" s="2"/>
      <c r="V87" s="2"/>
      <c r="W87" s="2"/>
      <c r="X87" s="2"/>
      <c r="Y87" s="2"/>
      <c r="Z87" s="2"/>
    </row>
    <row r="88" customFormat="false" ht="15.75" hidden="false" customHeight="true" outlineLevel="0" collapsed="false">
      <c r="A88" s="2"/>
      <c r="B88" s="2"/>
      <c r="C88" s="2"/>
      <c r="D88" s="2"/>
      <c r="E88" s="2"/>
      <c r="F88" s="2"/>
      <c r="G88" s="2"/>
      <c r="H88" s="2"/>
      <c r="I88" s="2"/>
      <c r="J88" s="2"/>
      <c r="K88" s="2"/>
      <c r="L88" s="2"/>
      <c r="M88" s="2"/>
      <c r="N88" s="2"/>
      <c r="O88" s="2"/>
      <c r="P88" s="2"/>
      <c r="Q88" s="2"/>
      <c r="R88" s="2"/>
      <c r="S88" s="2"/>
      <c r="T88" s="2"/>
      <c r="U88" s="2"/>
      <c r="V88" s="2"/>
      <c r="W88" s="2"/>
      <c r="X88" s="2"/>
      <c r="Y88" s="2"/>
      <c r="Z88" s="2"/>
    </row>
    <row r="89" customFormat="false" ht="15.75" hidden="false" customHeight="true" outlineLevel="0" collapsed="false">
      <c r="A89" s="2"/>
      <c r="B89" s="2"/>
      <c r="C89" s="2"/>
      <c r="D89" s="2"/>
      <c r="E89" s="2"/>
      <c r="F89" s="2"/>
      <c r="G89" s="2"/>
      <c r="H89" s="2"/>
      <c r="I89" s="2"/>
      <c r="J89" s="2"/>
      <c r="K89" s="2"/>
      <c r="L89" s="2"/>
      <c r="M89" s="2"/>
      <c r="N89" s="2"/>
      <c r="O89" s="2"/>
      <c r="P89" s="2"/>
      <c r="Q89" s="2"/>
      <c r="R89" s="2"/>
      <c r="S89" s="2"/>
      <c r="T89" s="2"/>
      <c r="U89" s="2"/>
      <c r="V89" s="2"/>
      <c r="W89" s="2"/>
      <c r="X89" s="2"/>
      <c r="Y89" s="2"/>
      <c r="Z89" s="2"/>
    </row>
    <row r="90" customFormat="false" ht="15.75" hidden="false" customHeight="true" outlineLevel="0" collapsed="false">
      <c r="A90" s="2"/>
      <c r="B90" s="2"/>
      <c r="C90" s="2"/>
      <c r="D90" s="2"/>
      <c r="E90" s="2"/>
      <c r="F90" s="2"/>
      <c r="G90" s="2"/>
      <c r="H90" s="2"/>
      <c r="I90" s="2"/>
      <c r="J90" s="2"/>
      <c r="K90" s="2"/>
      <c r="L90" s="2"/>
      <c r="M90" s="2"/>
      <c r="N90" s="2"/>
      <c r="O90" s="2"/>
      <c r="P90" s="2"/>
      <c r="Q90" s="2"/>
      <c r="R90" s="2"/>
      <c r="S90" s="2"/>
      <c r="T90" s="2"/>
      <c r="U90" s="2"/>
      <c r="V90" s="2"/>
      <c r="W90" s="2"/>
      <c r="X90" s="2"/>
      <c r="Y90" s="2"/>
      <c r="Z90" s="2"/>
    </row>
    <row r="91" customFormat="false" ht="15.75" hidden="false" customHeight="true" outlineLevel="0" collapsed="false">
      <c r="A91" s="2"/>
      <c r="B91" s="2"/>
      <c r="C91" s="2"/>
      <c r="D91" s="2"/>
      <c r="E91" s="2"/>
      <c r="F91" s="2"/>
      <c r="G91" s="2"/>
      <c r="H91" s="2"/>
      <c r="I91" s="2"/>
      <c r="J91" s="2"/>
      <c r="K91" s="2"/>
      <c r="L91" s="2"/>
      <c r="M91" s="2"/>
      <c r="N91" s="2"/>
      <c r="O91" s="2"/>
      <c r="P91" s="2"/>
      <c r="Q91" s="2"/>
      <c r="R91" s="2"/>
      <c r="S91" s="2"/>
      <c r="T91" s="2"/>
      <c r="U91" s="2"/>
      <c r="V91" s="2"/>
      <c r="W91" s="2"/>
      <c r="X91" s="2"/>
      <c r="Y91" s="2"/>
      <c r="Z91" s="2"/>
    </row>
    <row r="92" customFormat="false" ht="15.75" hidden="false" customHeight="true" outlineLevel="0" collapsed="false">
      <c r="A92" s="2"/>
      <c r="B92" s="2"/>
      <c r="C92" s="2"/>
      <c r="D92" s="2"/>
      <c r="E92" s="2"/>
      <c r="F92" s="2"/>
      <c r="G92" s="2"/>
      <c r="H92" s="2"/>
      <c r="I92" s="2"/>
      <c r="J92" s="2"/>
      <c r="K92" s="2"/>
      <c r="L92" s="2"/>
      <c r="M92" s="2"/>
      <c r="N92" s="2"/>
      <c r="O92" s="2"/>
      <c r="P92" s="2"/>
      <c r="Q92" s="2"/>
      <c r="R92" s="2"/>
      <c r="S92" s="2"/>
      <c r="T92" s="2"/>
      <c r="U92" s="2"/>
      <c r="V92" s="2"/>
      <c r="W92" s="2"/>
      <c r="X92" s="2"/>
      <c r="Y92" s="2"/>
      <c r="Z92" s="2"/>
    </row>
    <row r="93" customFormat="false" ht="15.75" hidden="false" customHeight="true" outlineLevel="0" collapsed="false">
      <c r="A93" s="2"/>
      <c r="B93" s="2"/>
      <c r="C93" s="2"/>
      <c r="D93" s="2"/>
      <c r="E93" s="2"/>
      <c r="F93" s="2"/>
      <c r="G93" s="2"/>
      <c r="H93" s="2"/>
      <c r="I93" s="2"/>
      <c r="J93" s="2"/>
      <c r="K93" s="2"/>
      <c r="L93" s="2"/>
      <c r="M93" s="2"/>
      <c r="N93" s="2"/>
      <c r="O93" s="2"/>
      <c r="P93" s="2"/>
      <c r="Q93" s="2"/>
      <c r="R93" s="2"/>
      <c r="S93" s="2"/>
      <c r="T93" s="2"/>
      <c r="U93" s="2"/>
      <c r="V93" s="2"/>
      <c r="W93" s="2"/>
      <c r="X93" s="2"/>
      <c r="Y93" s="2"/>
      <c r="Z93" s="2"/>
    </row>
    <row r="94" customFormat="false" ht="15.75" hidden="false" customHeight="true" outlineLevel="0" collapsed="false">
      <c r="A94" s="2"/>
      <c r="B94" s="2"/>
      <c r="C94" s="2"/>
      <c r="D94" s="2"/>
      <c r="E94" s="2"/>
      <c r="F94" s="2"/>
      <c r="G94" s="2"/>
      <c r="H94" s="2"/>
      <c r="I94" s="2"/>
      <c r="J94" s="2"/>
      <c r="K94" s="2"/>
      <c r="L94" s="2"/>
      <c r="M94" s="2"/>
      <c r="N94" s="2"/>
      <c r="O94" s="2"/>
      <c r="P94" s="2"/>
      <c r="Q94" s="2"/>
      <c r="R94" s="2"/>
      <c r="S94" s="2"/>
      <c r="T94" s="2"/>
      <c r="U94" s="2"/>
      <c r="V94" s="2"/>
      <c r="W94" s="2"/>
      <c r="X94" s="2"/>
      <c r="Y94" s="2"/>
      <c r="Z94" s="2"/>
    </row>
    <row r="95" customFormat="false" ht="15.75" hidden="false" customHeight="true" outlineLevel="0" collapsed="false">
      <c r="A95" s="2"/>
      <c r="B95" s="2"/>
      <c r="C95" s="2"/>
      <c r="D95" s="2"/>
      <c r="E95" s="2"/>
      <c r="F95" s="2"/>
      <c r="G95" s="2"/>
      <c r="H95" s="2"/>
      <c r="I95" s="2"/>
      <c r="J95" s="2"/>
      <c r="K95" s="2"/>
      <c r="L95" s="2"/>
      <c r="M95" s="2"/>
      <c r="N95" s="2"/>
      <c r="O95" s="2"/>
      <c r="P95" s="2"/>
      <c r="Q95" s="2"/>
      <c r="R95" s="2"/>
      <c r="S95" s="2"/>
      <c r="T95" s="2"/>
      <c r="U95" s="2"/>
      <c r="V95" s="2"/>
      <c r="W95" s="2"/>
      <c r="X95" s="2"/>
      <c r="Y95" s="2"/>
      <c r="Z95" s="2"/>
    </row>
    <row r="96" customFormat="false" ht="15.75" hidden="false" customHeight="true" outlineLevel="0" collapsed="false">
      <c r="A96" s="2"/>
      <c r="B96" s="2"/>
      <c r="C96" s="2"/>
      <c r="D96" s="2"/>
      <c r="E96" s="2"/>
      <c r="F96" s="2"/>
      <c r="G96" s="2"/>
      <c r="H96" s="2"/>
      <c r="I96" s="2"/>
      <c r="J96" s="2"/>
      <c r="K96" s="2"/>
      <c r="L96" s="2"/>
      <c r="M96" s="2"/>
      <c r="N96" s="2"/>
      <c r="O96" s="2"/>
      <c r="P96" s="2"/>
      <c r="Q96" s="2"/>
      <c r="R96" s="2"/>
      <c r="S96" s="2"/>
      <c r="T96" s="2"/>
      <c r="U96" s="2"/>
      <c r="V96" s="2"/>
      <c r="W96" s="2"/>
      <c r="X96" s="2"/>
      <c r="Y96" s="2"/>
      <c r="Z96" s="2"/>
    </row>
    <row r="97" customFormat="false" ht="15.75" hidden="false" customHeight="true" outlineLevel="0" collapsed="false">
      <c r="A97" s="2"/>
      <c r="B97" s="2"/>
      <c r="C97" s="2"/>
      <c r="D97" s="2"/>
      <c r="E97" s="2"/>
      <c r="F97" s="2"/>
      <c r="G97" s="2"/>
      <c r="H97" s="2"/>
      <c r="I97" s="2"/>
      <c r="J97" s="2"/>
      <c r="K97" s="2"/>
      <c r="L97" s="2"/>
      <c r="M97" s="2"/>
      <c r="N97" s="2"/>
      <c r="O97" s="2"/>
      <c r="P97" s="2"/>
      <c r="Q97" s="2"/>
      <c r="R97" s="2"/>
      <c r="S97" s="2"/>
      <c r="T97" s="2"/>
      <c r="U97" s="2"/>
      <c r="V97" s="2"/>
      <c r="W97" s="2"/>
      <c r="X97" s="2"/>
      <c r="Y97" s="2"/>
      <c r="Z97" s="2"/>
    </row>
    <row r="98" customFormat="false" ht="15.75" hidden="false" customHeight="true" outlineLevel="0" collapsed="false">
      <c r="A98" s="2"/>
      <c r="B98" s="2"/>
      <c r="C98" s="2"/>
      <c r="D98" s="2"/>
      <c r="E98" s="2"/>
      <c r="F98" s="2"/>
      <c r="G98" s="2"/>
      <c r="H98" s="2"/>
      <c r="I98" s="2"/>
      <c r="J98" s="2"/>
      <c r="K98" s="2"/>
      <c r="L98" s="2"/>
      <c r="M98" s="2"/>
      <c r="N98" s="2"/>
      <c r="O98" s="2"/>
      <c r="P98" s="2"/>
      <c r="Q98" s="2"/>
      <c r="R98" s="2"/>
      <c r="S98" s="2"/>
      <c r="T98" s="2"/>
      <c r="U98" s="2"/>
      <c r="V98" s="2"/>
      <c r="W98" s="2"/>
      <c r="X98" s="2"/>
      <c r="Y98" s="2"/>
      <c r="Z98" s="2"/>
    </row>
    <row r="99" customFormat="false" ht="15.75" hidden="false" customHeight="true" outlineLevel="0" collapsed="false">
      <c r="A99" s="2"/>
      <c r="B99" s="2"/>
      <c r="C99" s="2"/>
      <c r="D99" s="2"/>
      <c r="E99" s="2"/>
      <c r="F99" s="2"/>
      <c r="G99" s="2"/>
      <c r="H99" s="2"/>
      <c r="I99" s="2"/>
      <c r="J99" s="2"/>
      <c r="K99" s="2"/>
      <c r="L99" s="2"/>
      <c r="M99" s="2"/>
      <c r="N99" s="2"/>
      <c r="O99" s="2"/>
      <c r="P99" s="2"/>
      <c r="Q99" s="2"/>
      <c r="R99" s="2"/>
      <c r="S99" s="2"/>
      <c r="T99" s="2"/>
      <c r="U99" s="2"/>
      <c r="V99" s="2"/>
      <c r="W99" s="2"/>
      <c r="X99" s="2"/>
      <c r="Y99" s="2"/>
      <c r="Z99" s="2"/>
    </row>
    <row r="100" customFormat="false" ht="15.75" hidden="false" customHeight="true" outlineLevel="0" collapsed="false">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ustomFormat="false" ht="15.75" hidden="false" customHeight="true" outlineLevel="0" collapsed="false">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ustomFormat="false" ht="15.75" hidden="false" customHeight="true" outlineLevel="0" collapsed="false">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ustomFormat="false" ht="15.75" hidden="false" customHeight="true" outlineLevel="0" collapsed="false">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ustomFormat="false" ht="15.75" hidden="false" customHeight="true" outlineLevel="0" collapsed="false">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ustomFormat="false" ht="15.75" hidden="false" customHeight="true" outlineLevel="0" collapsed="false">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ustomFormat="false" ht="15.75" hidden="false" customHeight="true" outlineLevel="0" collapsed="false">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ustomFormat="false" ht="15.75" hidden="false" customHeight="true" outlineLevel="0" collapsed="false">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ustomFormat="false" ht="15.75" hidden="false" customHeight="true" outlineLevel="0" collapsed="false">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ustomFormat="false" ht="15.75" hidden="false" customHeight="true" outlineLevel="0" collapsed="false">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ustomFormat="false" ht="15.75" hidden="false" customHeight="true" outlineLevel="0" collapsed="false">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ustomFormat="false" ht="15.75" hidden="false" customHeight="true" outlineLevel="0" collapsed="false">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ustomFormat="false" ht="15.75" hidden="false" customHeight="true" outlineLevel="0" collapsed="false">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ustomFormat="false" ht="15.75" hidden="false" customHeight="true" outlineLevel="0" collapsed="false">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ustomFormat="false" ht="15.75" hidden="false" customHeight="true" outlineLevel="0" collapsed="false">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ustomFormat="false" ht="15.75" hidden="false" customHeight="true" outlineLevel="0" collapsed="false">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ustomFormat="false" ht="15.75" hidden="false" customHeight="true" outlineLevel="0" collapsed="false">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ustomFormat="false" ht="15.75" hidden="false" customHeight="true" outlineLevel="0" collapsed="false">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ustomFormat="false" ht="15.75" hidden="false" customHeight="true" outlineLevel="0" collapsed="false">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ustomFormat="false" ht="15.75" hidden="false" customHeight="true" outlineLevel="0" collapsed="false">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ustomFormat="false" ht="15.75" hidden="false" customHeight="true" outlineLevel="0" collapsed="false">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ustomFormat="false" ht="15.75" hidden="false" customHeight="true" outlineLevel="0" collapsed="false">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ustomFormat="false" ht="15.75" hidden="false" customHeight="true" outlineLevel="0" collapsed="false">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ustomFormat="false" ht="15.75" hidden="false" customHeight="true" outlineLevel="0" collapsed="false">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ustomFormat="false" ht="15.75" hidden="false" customHeight="true" outlineLevel="0" collapsed="false">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ustomFormat="false" ht="15.75" hidden="false" customHeight="true" outlineLevel="0" collapsed="false">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ustomFormat="false" ht="15.75" hidden="false" customHeight="true" outlineLevel="0" collapsed="false">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ustomFormat="false" ht="15.75" hidden="false" customHeight="true" outlineLevel="0" collapsed="false">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ustomFormat="false" ht="15.75" hidden="false" customHeight="true" outlineLevel="0" collapsed="false">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ustomFormat="false" ht="15.75" hidden="false" customHeight="true" outlineLevel="0" collapsed="false">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ustomFormat="false" ht="15.75" hidden="false" customHeight="true" outlineLevel="0" collapsed="false">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ustomFormat="false" ht="15.75" hidden="false" customHeight="true" outlineLevel="0" collapsed="false">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ustomFormat="false" ht="15.75" hidden="false" customHeight="true" outlineLevel="0" collapsed="false">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ustomFormat="false" ht="15.75" hidden="false" customHeight="true" outlineLevel="0" collapsed="false">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ustomFormat="false" ht="15.75" hidden="false" customHeight="true" outlineLevel="0" collapsed="false">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ustomFormat="false" ht="15.75" hidden="false" customHeight="true" outlineLevel="0" collapsed="false">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ustomFormat="false" ht="15.75" hidden="false" customHeight="true" outlineLevel="0" collapsed="false">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ustomFormat="false" ht="15.75" hidden="false" customHeight="true" outlineLevel="0" collapsed="false">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ustomFormat="false" ht="15.75" hidden="false" customHeight="true" outlineLevel="0" collapsed="false">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ustomFormat="false" ht="15.75" hidden="false" customHeight="true" outlineLevel="0" collapsed="false">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ustomFormat="false" ht="15.75" hidden="false" customHeight="true" outlineLevel="0" collapsed="false">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ustomFormat="false" ht="15.75" hidden="false" customHeight="true" outlineLevel="0" collapsed="false">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ustomFormat="false" ht="15.75" hidden="false" customHeight="true" outlineLevel="0" collapsed="false">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ustomFormat="false" ht="15.75" hidden="false" customHeight="true" outlineLevel="0" collapsed="false">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ustomFormat="false" ht="15.75" hidden="false" customHeight="true" outlineLevel="0" collapsed="false">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ustomFormat="false" ht="15.75" hidden="false" customHeight="true" outlineLevel="0" collapsed="false">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ustomFormat="false" ht="15.75" hidden="false" customHeight="true" outlineLevel="0" collapsed="false">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ustomFormat="false" ht="15.75" hidden="false" customHeight="true" outlineLevel="0" collapsed="false">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ustomFormat="false" ht="15.75" hidden="false" customHeight="true" outlineLevel="0" collapsed="false">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ustomFormat="false" ht="15.75" hidden="false" customHeight="true" outlineLevel="0" collapsed="false">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ustomFormat="false" ht="15.75" hidden="false" customHeight="true" outlineLevel="0" collapsed="false">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ustomFormat="false" ht="15.75" hidden="false" customHeight="true" outlineLevel="0" collapsed="false">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ustomFormat="false" ht="15.75" hidden="false" customHeight="true" outlineLevel="0" collapsed="false">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ustomFormat="false" ht="15.75" hidden="false" customHeight="true" outlineLevel="0" collapsed="false">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ustomFormat="false" ht="15.75" hidden="false" customHeight="true" outlineLevel="0" collapsed="false">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ustomFormat="false" ht="15.75" hidden="false" customHeight="true" outlineLevel="0" collapsed="false">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ustomFormat="false" ht="15.75" hidden="false" customHeight="true" outlineLevel="0" collapsed="false">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ustomFormat="false" ht="15.75" hidden="false" customHeight="true" outlineLevel="0" collapsed="false">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ustomFormat="false" ht="15.75" hidden="false" customHeight="true" outlineLevel="0" collapsed="false">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ustomFormat="false" ht="15.75" hidden="false" customHeight="true" outlineLevel="0" collapsed="false">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ustomFormat="false" ht="15.75" hidden="false" customHeight="true" outlineLevel="0" collapsed="false">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ustomFormat="false" ht="15.75" hidden="false" customHeight="true" outlineLevel="0" collapsed="false">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ustomFormat="false" ht="15.75" hidden="false" customHeight="true" outlineLevel="0" collapsed="false">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ustomFormat="false" ht="15.75" hidden="false" customHeight="true" outlineLevel="0" collapsed="false">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ustomFormat="false" ht="15.75" hidden="false" customHeight="true" outlineLevel="0" collapsed="false">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ustomFormat="false" ht="15.75" hidden="false" customHeight="true" outlineLevel="0" collapsed="false">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ustomFormat="false" ht="15.75" hidden="false" customHeight="true" outlineLevel="0" collapsed="false">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ustomFormat="false" ht="15.75" hidden="false" customHeight="true" outlineLevel="0" collapsed="false">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ustomFormat="false" ht="15.75" hidden="false" customHeight="true" outlineLevel="0" collapsed="false">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ustomFormat="false" ht="15.75" hidden="false" customHeight="true" outlineLevel="0" collapsed="false">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ustomFormat="false" ht="15.75" hidden="false" customHeight="true" outlineLevel="0" collapsed="false">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ustomFormat="false" ht="15.75" hidden="false" customHeight="true" outlineLevel="0" collapsed="false">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ustomFormat="false" ht="15.75" hidden="false" customHeight="true" outlineLevel="0" collapsed="false">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ustomFormat="false" ht="15.75" hidden="false" customHeight="true" outlineLevel="0" collapsed="false">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ustomFormat="false" ht="15.75" hidden="false" customHeight="true" outlineLevel="0" collapsed="false">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ustomFormat="false" ht="15.75" hidden="false" customHeight="true" outlineLevel="0" collapsed="false">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ustomFormat="false" ht="15.75" hidden="false" customHeight="true" outlineLevel="0" collapsed="false">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ustomFormat="false" ht="15.75" hidden="false" customHeight="true" outlineLevel="0" collapsed="false">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ustomFormat="false" ht="15.75" hidden="false" customHeight="true" outlineLevel="0" collapsed="false">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ustomFormat="false" ht="15.75" hidden="false" customHeight="true" outlineLevel="0" collapsed="false">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ustomFormat="false" ht="15.75" hidden="false" customHeight="true" outlineLevel="0" collapsed="false">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ustomFormat="false" ht="15.75" hidden="false" customHeight="true" outlineLevel="0" collapsed="false">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ustomFormat="false" ht="15.75" hidden="false" customHeight="true" outlineLevel="0" collapsed="false">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ustomFormat="false" ht="15.75" hidden="false" customHeight="true" outlineLevel="0" collapsed="false">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ustomFormat="false" ht="15.75" hidden="false" customHeight="true" outlineLevel="0" collapsed="false">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ustomFormat="false" ht="15.75" hidden="false" customHeight="true" outlineLevel="0" collapsed="false">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ustomFormat="false" ht="15.75" hidden="false" customHeight="true" outlineLevel="0" collapsed="false">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ustomFormat="false" ht="15.75" hidden="false" customHeight="true" outlineLevel="0" collapsed="false">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ustomFormat="false" ht="15.75" hidden="false" customHeight="true" outlineLevel="0" collapsed="false">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ustomFormat="false" ht="15.75" hidden="false" customHeight="true" outlineLevel="0" collapsed="false">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ustomFormat="false" ht="15.75" hidden="false" customHeight="true" outlineLevel="0" collapsed="false">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ustomFormat="false" ht="15.75" hidden="false" customHeight="true" outlineLevel="0" collapsed="false">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ustomFormat="false" ht="15.75" hidden="false" customHeight="true" outlineLevel="0" collapsed="false">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ustomFormat="false" ht="15.75" hidden="false" customHeight="true" outlineLevel="0" collapsed="false">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ustomFormat="false" ht="15.75" hidden="false" customHeight="true" outlineLevel="0" collapsed="false">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ustomFormat="false" ht="15.75" hidden="false" customHeight="true" outlineLevel="0" collapsed="false">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ustomFormat="false" ht="15.75" hidden="false" customHeight="true" outlineLevel="0" collapsed="false">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ustomFormat="false" ht="15.75" hidden="false" customHeight="true" outlineLevel="0" collapsed="false">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ustomFormat="false" ht="15.75" hidden="false" customHeight="true" outlineLevel="0" collapsed="false">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ustomFormat="false" ht="15.75" hidden="false" customHeight="true" outlineLevel="0" collapsed="false">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ustomFormat="false" ht="15.75" hidden="false" customHeight="true" outlineLevel="0" collapsed="false">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ustomFormat="false" ht="15.75" hidden="false" customHeight="true" outlineLevel="0" collapsed="false">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ustomFormat="false" ht="15.75" hidden="false" customHeight="true" outlineLevel="0" collapsed="false">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ustomFormat="false" ht="15.75" hidden="false" customHeight="true" outlineLevel="0" collapsed="false">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ustomFormat="false" ht="15.75" hidden="false" customHeight="true" outlineLevel="0" collapsed="false">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ustomFormat="false" ht="15.75" hidden="false" customHeight="true" outlineLevel="0" collapsed="false">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ustomFormat="false" ht="15.75" hidden="false" customHeight="true" outlineLevel="0" collapsed="false">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ustomFormat="false" ht="15.75" hidden="false" customHeight="true" outlineLevel="0" collapsed="false">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ustomFormat="false" ht="15.75" hidden="false" customHeight="true" outlineLevel="0" collapsed="false">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ustomFormat="false" ht="15.75" hidden="false" customHeight="true" outlineLevel="0" collapsed="false">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ustomFormat="false" ht="15.75" hidden="false" customHeight="true" outlineLevel="0" collapsed="false">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ustomFormat="false" ht="15.75" hidden="false" customHeight="true" outlineLevel="0" collapsed="false">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ustomFormat="false" ht="15.75" hidden="false" customHeight="true" outlineLevel="0" collapsed="false">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ustomFormat="false" ht="15.75" hidden="false" customHeight="true" outlineLevel="0" collapsed="false">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ustomFormat="false" ht="15.75" hidden="false" customHeight="true" outlineLevel="0" collapsed="false">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ustomFormat="false" ht="15.75" hidden="false" customHeight="true" outlineLevel="0" collapsed="false">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ustomFormat="false" ht="15.75" hidden="false" customHeight="true" outlineLevel="0" collapsed="false">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ustomFormat="false" ht="15.75" hidden="false" customHeight="true" outlineLevel="0" collapsed="false">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ustomFormat="false" ht="15.75" hidden="false" customHeight="true" outlineLevel="0" collapsed="false">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ustomFormat="false" ht="15.75" hidden="false" customHeight="true" outlineLevel="0" collapsed="false">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ustomFormat="false" ht="15.75" hidden="false" customHeight="true" outlineLevel="0" collapsed="false">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ustomFormat="false" ht="15.75" hidden="false" customHeight="true" outlineLevel="0" collapsed="false">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ustomFormat="false" ht="15.75" hidden="false" customHeight="true" outlineLevel="0" collapsed="false">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ustomFormat="false" ht="15.75" hidden="false" customHeight="true" outlineLevel="0" collapsed="false">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ustomFormat="false" ht="15.75" hidden="false" customHeight="true" outlineLevel="0" collapsed="false">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ustomFormat="false" ht="15.75" hidden="false" customHeight="true" outlineLevel="0" collapsed="false">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ustomFormat="false" ht="15.75" hidden="false" customHeight="true" outlineLevel="0" collapsed="false">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ustomFormat="false" ht="15.75" hidden="false" customHeight="true" outlineLevel="0" collapsed="false">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ustomFormat="false" ht="15.75" hidden="false" customHeight="true" outlineLevel="0" collapsed="false">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ustomFormat="false" ht="15.75" hidden="false" customHeight="true" outlineLevel="0" collapsed="false">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ustomFormat="false" ht="15.75" hidden="false" customHeight="true" outlineLevel="0" collapsed="false">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ustomFormat="false" ht="15.75" hidden="false" customHeight="true" outlineLevel="0" collapsed="false">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ustomFormat="false" ht="15.75" hidden="false" customHeight="true" outlineLevel="0" collapsed="false">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ustomFormat="false" ht="15.75" hidden="false" customHeight="true" outlineLevel="0" collapsed="false">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ustomFormat="false" ht="15.75" hidden="false" customHeight="true" outlineLevel="0" collapsed="false">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ustomFormat="false" ht="15.75" hidden="false" customHeight="true" outlineLevel="0" collapsed="false">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ustomFormat="false" ht="15.75" hidden="false" customHeight="true" outlineLevel="0" collapsed="false">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ustomFormat="false" ht="15.75" hidden="false" customHeight="true" outlineLevel="0" collapsed="false">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ustomFormat="false" ht="15.75" hidden="false" customHeight="true" outlineLevel="0" collapsed="false">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ustomFormat="false" ht="15.75" hidden="false" customHeight="true" outlineLevel="0" collapsed="false">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ustomFormat="false" ht="15.75" hidden="false" customHeight="true" outlineLevel="0" collapsed="false">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ustomFormat="false" ht="15.75" hidden="false" customHeight="true" outlineLevel="0" collapsed="false">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ustomFormat="false" ht="15.75" hidden="false" customHeight="true" outlineLevel="0" collapsed="false">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ustomFormat="false" ht="15.75" hidden="false" customHeight="true" outlineLevel="0" collapsed="false">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ustomFormat="false" ht="15.75" hidden="false" customHeight="true" outlineLevel="0" collapsed="false">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ustomFormat="false" ht="15.75" hidden="false" customHeight="true" outlineLevel="0" collapsed="false">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ustomFormat="false" ht="15.75" hidden="false" customHeight="true" outlineLevel="0" collapsed="false">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ustomFormat="false" ht="15.75" hidden="false" customHeight="true" outlineLevel="0" collapsed="false">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ustomFormat="false" ht="15.75" hidden="false" customHeight="true" outlineLevel="0" collapsed="false">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ustomFormat="false" ht="15.75" hidden="false" customHeight="true" outlineLevel="0" collapsed="false">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ustomFormat="false" ht="15.75" hidden="false" customHeight="true" outlineLevel="0" collapsed="false">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ustomFormat="false" ht="15.75" hidden="false" customHeight="true" outlineLevel="0" collapsed="false">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ustomFormat="false" ht="15.75" hidden="false" customHeight="true" outlineLevel="0" collapsed="false">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ustomFormat="false" ht="15.75" hidden="false" customHeight="true" outlineLevel="0" collapsed="false">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ustomFormat="false" ht="15.75" hidden="false" customHeight="true" outlineLevel="0" collapsed="false">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ustomFormat="false" ht="15.75" hidden="false" customHeight="true" outlineLevel="0" collapsed="false">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ustomFormat="false" ht="15.75" hidden="false" customHeight="true" outlineLevel="0" collapsed="false">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ustomFormat="false" ht="15.75" hidden="false" customHeight="true" outlineLevel="0" collapsed="false">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ustomFormat="false" ht="15.75" hidden="false" customHeight="true" outlineLevel="0" collapsed="false">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ustomFormat="false" ht="15.75" hidden="false" customHeight="true" outlineLevel="0" collapsed="false">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ustomFormat="false" ht="15.75" hidden="false" customHeight="true" outlineLevel="0" collapsed="false">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ustomFormat="false" ht="15.75" hidden="false" customHeight="true" outlineLevel="0" collapsed="false">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ustomFormat="false" ht="15.75" hidden="false" customHeight="true" outlineLevel="0" collapsed="false">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ustomFormat="false" ht="15.75" hidden="false" customHeight="true" outlineLevel="0" collapsed="false">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ustomFormat="false" ht="15.75" hidden="false" customHeight="true" outlineLevel="0" collapsed="false">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ustomFormat="false" ht="15.75" hidden="false" customHeight="true" outlineLevel="0" collapsed="false">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ustomFormat="false" ht="15.75" hidden="false" customHeight="true" outlineLevel="0" collapsed="false">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ustomFormat="false" ht="15.75" hidden="false" customHeight="true" outlineLevel="0" collapsed="false">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ustomFormat="false" ht="15.75" hidden="false" customHeight="true" outlineLevel="0" collapsed="false">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ustomFormat="false" ht="15.75" hidden="false" customHeight="true" outlineLevel="0" collapsed="false">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ustomFormat="false" ht="15.75" hidden="false" customHeight="true" outlineLevel="0" collapsed="false">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ustomFormat="false" ht="15.75" hidden="false" customHeight="true" outlineLevel="0" collapsed="false">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ustomFormat="false" ht="15.75" hidden="false" customHeight="true" outlineLevel="0" collapsed="false">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ustomFormat="false" ht="15.75" hidden="false" customHeight="true" outlineLevel="0" collapsed="false">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ustomFormat="false" ht="15.75" hidden="false" customHeight="true" outlineLevel="0" collapsed="false">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ustomFormat="false" ht="15.75" hidden="false" customHeight="true" outlineLevel="0" collapsed="false">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ustomFormat="false" ht="15.75" hidden="false" customHeight="true" outlineLevel="0" collapsed="false">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ustomFormat="false" ht="15.75" hidden="false" customHeight="true" outlineLevel="0" collapsed="false">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ustomFormat="false" ht="15.75" hidden="false" customHeight="true" outlineLevel="0" collapsed="false">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ustomFormat="false" ht="15.75" hidden="false" customHeight="true" outlineLevel="0" collapsed="false">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ustomFormat="false" ht="15.75" hidden="false" customHeight="true" outlineLevel="0" collapsed="false">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ustomFormat="false" ht="15.75" hidden="false" customHeight="true" outlineLevel="0" collapsed="false">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ustomFormat="false" ht="15.75" hidden="false" customHeight="true" outlineLevel="0" collapsed="false">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ustomFormat="false" ht="15.75" hidden="false" customHeight="true" outlineLevel="0" collapsed="false">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ustomFormat="false" ht="15.75" hidden="false" customHeight="true" outlineLevel="0" collapsed="false">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ustomFormat="false" ht="15.75" hidden="false" customHeight="true" outlineLevel="0" collapsed="false">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ustomFormat="false" ht="15.75" hidden="false" customHeight="true" outlineLevel="0" collapsed="false">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ustomFormat="false" ht="15.75" hidden="false" customHeight="true" outlineLevel="0" collapsed="false">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ustomFormat="false" ht="15.75" hidden="false" customHeight="true" outlineLevel="0" collapsed="false">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ustomFormat="false" ht="15.75" hidden="false" customHeight="true" outlineLevel="0" collapsed="false">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ustomFormat="false" ht="15.75" hidden="false" customHeight="true" outlineLevel="0" collapsed="false">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ustomFormat="false" ht="15.75" hidden="false" customHeight="true" outlineLevel="0" collapsed="false">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ustomFormat="false" ht="15.75" hidden="false" customHeight="true" outlineLevel="0" collapsed="false">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ustomFormat="false" ht="15.75" hidden="false" customHeight="true" outlineLevel="0" collapsed="false">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ustomFormat="false" ht="15.75" hidden="false" customHeight="true" outlineLevel="0" collapsed="false">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ustomFormat="false" ht="15.75" hidden="false" customHeight="true" outlineLevel="0" collapsed="false">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ustomFormat="false" ht="15.75" hidden="false" customHeight="true" outlineLevel="0" collapsed="false">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ustomFormat="false" ht="15.75" hidden="false" customHeight="true" outlineLevel="0" collapsed="false">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ustomFormat="false" ht="15.75" hidden="false" customHeight="true" outlineLevel="0" collapsed="false">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ustomFormat="false" ht="15.75" hidden="false" customHeight="true" outlineLevel="0" collapsed="false">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ustomFormat="false" ht="15.75" hidden="false" customHeight="true" outlineLevel="0" collapsed="false">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ustomFormat="false" ht="15.75" hidden="false" customHeight="true" outlineLevel="0" collapsed="false">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ustomFormat="false" ht="15.75" hidden="false" customHeight="true" outlineLevel="0" collapsed="false">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ustomFormat="false" ht="15.75" hidden="false" customHeight="true" outlineLevel="0" collapsed="false">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ustomFormat="false" ht="15.75" hidden="false" customHeight="true" outlineLevel="0" collapsed="false">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ustomFormat="false" ht="15.75" hidden="false" customHeight="true" outlineLevel="0" collapsed="false">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ustomFormat="false" ht="15.75" hidden="false" customHeight="true" outlineLevel="0" collapsed="false">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ustomFormat="false" ht="15.75" hidden="false" customHeight="true" outlineLevel="0" collapsed="false">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ustomFormat="false" ht="15.75" hidden="false" customHeight="true" outlineLevel="0" collapsed="false">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ustomFormat="false" ht="15.75" hidden="false" customHeight="true" outlineLevel="0" collapsed="false">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ustomFormat="false" ht="15.75" hidden="false" customHeight="true" outlineLevel="0" collapsed="false">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ustomFormat="false" ht="15.75" hidden="false" customHeight="true" outlineLevel="0" collapsed="false">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ustomFormat="false" ht="15.75" hidden="false" customHeight="true" outlineLevel="0" collapsed="false">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ustomFormat="false" ht="15.75" hidden="false" customHeight="true" outlineLevel="0" collapsed="false">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ustomFormat="false" ht="15.75" hidden="false" customHeight="true" outlineLevel="0" collapsed="false">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ustomFormat="false" ht="15.75" hidden="false" customHeight="true" outlineLevel="0" collapsed="false">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ustomFormat="false" ht="15.75" hidden="false" customHeight="true" outlineLevel="0" collapsed="false">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ustomFormat="false" ht="15.75" hidden="false" customHeight="true" outlineLevel="0" collapsed="false">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ustomFormat="false" ht="15.75" hidden="false" customHeight="true" outlineLevel="0" collapsed="false">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ustomFormat="false" ht="15.75" hidden="false" customHeight="true" outlineLevel="0" collapsed="false">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ustomFormat="false" ht="15.75" hidden="false" customHeight="true" outlineLevel="0" collapsed="false">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ustomFormat="false" ht="15.75" hidden="false" customHeight="true" outlineLevel="0" collapsed="false">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ustomFormat="false" ht="15.75" hidden="false" customHeight="true" outlineLevel="0" collapsed="false">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ustomFormat="false" ht="15.75" hidden="false" customHeight="true" outlineLevel="0" collapsed="false">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ustomFormat="false" ht="15.75" hidden="false" customHeight="true" outlineLevel="0" collapsed="false">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ustomFormat="false" ht="15.75" hidden="false" customHeight="true" outlineLevel="0" collapsed="false">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ustomFormat="false" ht="15.75" hidden="false" customHeight="true" outlineLevel="0" collapsed="false">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ustomFormat="false" ht="15.75" hidden="false" customHeight="true" outlineLevel="0" collapsed="false">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ustomFormat="false" ht="15.75" hidden="false" customHeight="true" outlineLevel="0" collapsed="false">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ustomFormat="false" ht="15.75" hidden="false" customHeight="true" outlineLevel="0" collapsed="false">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ustomFormat="false" ht="15.75" hidden="false" customHeight="true" outlineLevel="0" collapsed="false">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ustomFormat="false" ht="15.75" hidden="false" customHeight="true" outlineLevel="0" collapsed="false">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ustomFormat="false" ht="15.75" hidden="false" customHeight="true" outlineLevel="0" collapsed="false">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ustomFormat="false" ht="15.75" hidden="false" customHeight="true" outlineLevel="0" collapsed="false">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ustomFormat="false" ht="15.75" hidden="false" customHeight="true" outlineLevel="0" collapsed="false">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ustomFormat="false" ht="15.75" hidden="false" customHeight="true" outlineLevel="0" collapsed="false">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ustomFormat="false" ht="15.75" hidden="false" customHeight="true" outlineLevel="0" collapsed="false">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ustomFormat="false" ht="15.75" hidden="false" customHeight="true" outlineLevel="0" collapsed="false">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ustomFormat="false" ht="15.75" hidden="false" customHeight="true" outlineLevel="0" collapsed="false">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ustomFormat="false" ht="15.75" hidden="false" customHeight="true" outlineLevel="0" collapsed="false">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ustomFormat="false" ht="15.75" hidden="false" customHeight="true" outlineLevel="0" collapsed="false">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ustomFormat="false" ht="15.75" hidden="false" customHeight="true" outlineLevel="0" collapsed="false">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ustomFormat="false" ht="15.75" hidden="false" customHeight="true" outlineLevel="0" collapsed="false">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ustomFormat="false" ht="15.75" hidden="false" customHeight="true" outlineLevel="0" collapsed="false">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ustomFormat="false" ht="15.75" hidden="false" customHeight="true" outlineLevel="0" collapsed="false">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ustomFormat="false" ht="15.75" hidden="false" customHeight="true" outlineLevel="0" collapsed="false">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ustomFormat="false" ht="15.75" hidden="false" customHeight="true" outlineLevel="0" collapsed="false">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ustomFormat="false" ht="15.75" hidden="false" customHeight="true" outlineLevel="0" collapsed="false">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ustomFormat="false" ht="15.75" hidden="false" customHeight="true" outlineLevel="0" collapsed="false">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ustomFormat="false" ht="15.75" hidden="false" customHeight="true" outlineLevel="0" collapsed="false">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ustomFormat="false" ht="15.75" hidden="false" customHeight="true" outlineLevel="0" collapsed="false">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ustomFormat="false" ht="15.75" hidden="false" customHeight="true" outlineLevel="0" collapsed="false">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ustomFormat="false" ht="15.75" hidden="false" customHeight="true" outlineLevel="0" collapsed="false">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ustomFormat="false" ht="15.75" hidden="false" customHeight="true" outlineLevel="0" collapsed="false">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ustomFormat="false" ht="15.75" hidden="false" customHeight="true" outlineLevel="0" collapsed="false">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ustomFormat="false" ht="15.75" hidden="false" customHeight="true" outlineLevel="0" collapsed="false">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ustomFormat="false" ht="15.75" hidden="false" customHeight="true" outlineLevel="0" collapsed="false">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ustomFormat="false" ht="15.75" hidden="false" customHeight="true" outlineLevel="0" collapsed="false">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ustomFormat="false" ht="15.75" hidden="false" customHeight="true" outlineLevel="0" collapsed="false">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ustomFormat="false" ht="15.75" hidden="false" customHeight="true" outlineLevel="0" collapsed="false">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ustomFormat="false" ht="15.75" hidden="false" customHeight="true" outlineLevel="0" collapsed="false">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ustomFormat="false" ht="15.75" hidden="false" customHeight="true" outlineLevel="0" collapsed="false">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ustomFormat="false" ht="15.75" hidden="false" customHeight="true" outlineLevel="0" collapsed="false">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ustomFormat="false" ht="15.75" hidden="false" customHeight="true" outlineLevel="0" collapsed="false">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ustomFormat="false" ht="15.75" hidden="false" customHeight="true" outlineLevel="0" collapsed="false">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ustomFormat="false" ht="15.75" hidden="false" customHeight="true" outlineLevel="0" collapsed="false">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ustomFormat="false" ht="15.75" hidden="false" customHeight="true" outlineLevel="0" collapsed="false">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ustomFormat="false" ht="15.75" hidden="false" customHeight="true" outlineLevel="0" collapsed="false">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ustomFormat="false" ht="15.75" hidden="false" customHeight="true" outlineLevel="0" collapsed="false">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ustomFormat="false" ht="15.75" hidden="false" customHeight="true" outlineLevel="0" collapsed="false">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ustomFormat="false" ht="15.75" hidden="false" customHeight="true" outlineLevel="0" collapsed="false">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ustomFormat="false" ht="15.75" hidden="false" customHeight="true" outlineLevel="0" collapsed="false">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ustomFormat="false" ht="15.75" hidden="false" customHeight="true" outlineLevel="0" collapsed="false">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ustomFormat="false" ht="15.75" hidden="false" customHeight="true" outlineLevel="0" collapsed="false">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ustomFormat="false" ht="15.75" hidden="false" customHeight="true" outlineLevel="0" collapsed="false">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ustomFormat="false" ht="15.75" hidden="false" customHeight="true" outlineLevel="0" collapsed="false">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ustomFormat="false" ht="15.75" hidden="false" customHeight="true" outlineLevel="0" collapsed="false">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ustomFormat="false" ht="15.75" hidden="false" customHeight="true" outlineLevel="0" collapsed="false">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ustomFormat="false" ht="15.75" hidden="false" customHeight="true" outlineLevel="0" collapsed="false">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ustomFormat="false" ht="15.75" hidden="false" customHeight="true" outlineLevel="0" collapsed="false">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ustomFormat="false" ht="15.75" hidden="false" customHeight="true" outlineLevel="0" collapsed="false">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ustomFormat="false" ht="15.75" hidden="false" customHeight="true" outlineLevel="0" collapsed="false">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ustomFormat="false" ht="15.75" hidden="false" customHeight="true" outlineLevel="0" collapsed="false">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ustomFormat="false" ht="15.75" hidden="false" customHeight="true" outlineLevel="0" collapsed="false">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ustomFormat="false" ht="15.75" hidden="false" customHeight="true" outlineLevel="0" collapsed="false">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ustomFormat="false" ht="15.75" hidden="false" customHeight="true" outlineLevel="0" collapsed="false">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ustomFormat="false" ht="15.75" hidden="false" customHeight="true" outlineLevel="0" collapsed="false">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ustomFormat="false" ht="15.75" hidden="false" customHeight="true" outlineLevel="0" collapsed="false">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ustomFormat="false" ht="15.75" hidden="false" customHeight="true" outlineLevel="0" collapsed="false">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ustomFormat="false" ht="15.75" hidden="false" customHeight="true" outlineLevel="0" collapsed="false">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ustomFormat="false" ht="15.75" hidden="false" customHeight="true" outlineLevel="0" collapsed="false">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ustomFormat="false" ht="15.75" hidden="false" customHeight="true" outlineLevel="0" collapsed="false">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ustomFormat="false" ht="15.75" hidden="false" customHeight="true" outlineLevel="0" collapsed="false">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ustomFormat="false" ht="15.75" hidden="false" customHeight="true" outlineLevel="0" collapsed="false">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ustomFormat="false" ht="15.75" hidden="false" customHeight="true" outlineLevel="0" collapsed="false">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ustomFormat="false" ht="15.75" hidden="false" customHeight="true" outlineLevel="0" collapsed="false">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ustomFormat="false" ht="15.75" hidden="false" customHeight="true" outlineLevel="0" collapsed="false">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ustomFormat="false" ht="15.75" hidden="false" customHeight="true" outlineLevel="0" collapsed="false">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ustomFormat="false" ht="15.75" hidden="false" customHeight="true" outlineLevel="0" collapsed="false">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ustomFormat="false" ht="15.75" hidden="false" customHeight="true" outlineLevel="0" collapsed="false">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ustomFormat="false" ht="15.75" hidden="false" customHeight="true" outlineLevel="0" collapsed="false">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ustomFormat="false" ht="15.75" hidden="false" customHeight="true" outlineLevel="0" collapsed="false">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ustomFormat="false" ht="15.75" hidden="false" customHeight="true" outlineLevel="0" collapsed="false">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ustomFormat="false" ht="15.75" hidden="false" customHeight="true" outlineLevel="0" collapsed="false">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ustomFormat="false" ht="15.75" hidden="false" customHeight="true" outlineLevel="0" collapsed="false">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ustomFormat="false" ht="15.75" hidden="false" customHeight="true" outlineLevel="0" collapsed="false">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ustomFormat="false" ht="15.75" hidden="false" customHeight="true" outlineLevel="0" collapsed="false">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ustomFormat="false" ht="15.75" hidden="false" customHeight="true" outlineLevel="0" collapsed="false">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ustomFormat="false" ht="15.75" hidden="false" customHeight="true" outlineLevel="0" collapsed="false">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ustomFormat="false" ht="15.75" hidden="false" customHeight="true" outlineLevel="0" collapsed="false">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ustomFormat="false" ht="15.75" hidden="false" customHeight="true" outlineLevel="0" collapsed="false">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ustomFormat="false" ht="15.75" hidden="false" customHeight="true" outlineLevel="0" collapsed="false">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ustomFormat="false" ht="15.75" hidden="false" customHeight="true" outlineLevel="0" collapsed="false">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ustomFormat="false" ht="15.75" hidden="false" customHeight="true" outlineLevel="0" collapsed="false">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ustomFormat="false" ht="15.75" hidden="false" customHeight="true" outlineLevel="0" collapsed="false">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ustomFormat="false" ht="15.75" hidden="false" customHeight="true" outlineLevel="0" collapsed="false">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ustomFormat="false" ht="15.75" hidden="false" customHeight="true" outlineLevel="0" collapsed="false">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ustomFormat="false" ht="15.75" hidden="false" customHeight="true" outlineLevel="0" collapsed="false">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ustomFormat="false" ht="15.75" hidden="false" customHeight="true" outlineLevel="0" collapsed="false">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ustomFormat="false" ht="15.75" hidden="false" customHeight="true" outlineLevel="0" collapsed="false">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ustomFormat="false" ht="15.75" hidden="false" customHeight="true" outlineLevel="0" collapsed="false">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ustomFormat="false" ht="15.75" hidden="false" customHeight="true" outlineLevel="0" collapsed="false">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ustomFormat="false" ht="15.75" hidden="false" customHeight="true" outlineLevel="0" collapsed="false">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ustomFormat="false" ht="15.75" hidden="false" customHeight="true" outlineLevel="0" collapsed="false">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ustomFormat="false" ht="15.75" hidden="false" customHeight="true" outlineLevel="0" collapsed="false">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ustomFormat="false" ht="15.75" hidden="false" customHeight="true" outlineLevel="0" collapsed="false">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ustomFormat="false" ht="15.75" hidden="false" customHeight="true" outlineLevel="0" collapsed="false">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ustomFormat="false" ht="15.75" hidden="false" customHeight="true" outlineLevel="0" collapsed="false">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ustomFormat="false" ht="15.75" hidden="false" customHeight="true" outlineLevel="0" collapsed="false">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ustomFormat="false" ht="15.75" hidden="false" customHeight="true" outlineLevel="0" collapsed="false">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ustomFormat="false" ht="15.75" hidden="false" customHeight="true" outlineLevel="0" collapsed="false">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ustomFormat="false" ht="15.75" hidden="false" customHeight="true" outlineLevel="0" collapsed="false">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ustomFormat="false" ht="15.75" hidden="false" customHeight="true" outlineLevel="0" collapsed="false">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ustomFormat="false" ht="15.75" hidden="false" customHeight="true" outlineLevel="0" collapsed="false">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ustomFormat="false" ht="15.75" hidden="false" customHeight="true" outlineLevel="0" collapsed="false">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ustomFormat="false" ht="15.75" hidden="false" customHeight="true" outlineLevel="0" collapsed="false">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ustomFormat="false" ht="15.75" hidden="false" customHeight="true" outlineLevel="0" collapsed="false">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ustomFormat="false" ht="15.75" hidden="false" customHeight="true" outlineLevel="0" collapsed="false">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ustomFormat="false" ht="15.75" hidden="false" customHeight="true" outlineLevel="0" collapsed="false">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ustomFormat="false" ht="15.75" hidden="false" customHeight="true" outlineLevel="0" collapsed="false">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ustomFormat="false" ht="15.75" hidden="false" customHeight="true" outlineLevel="0" collapsed="false">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ustomFormat="false" ht="15.75" hidden="false" customHeight="true" outlineLevel="0" collapsed="false">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ustomFormat="false" ht="15.75" hidden="false" customHeight="true" outlineLevel="0" collapsed="false">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ustomFormat="false" ht="15.75" hidden="false" customHeight="true" outlineLevel="0" collapsed="false">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ustomFormat="false" ht="15.75" hidden="false" customHeight="true" outlineLevel="0" collapsed="false">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ustomFormat="false" ht="15.75" hidden="false" customHeight="true" outlineLevel="0" collapsed="false">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ustomFormat="false" ht="15.75" hidden="false" customHeight="true" outlineLevel="0" collapsed="false">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ustomFormat="false" ht="15.75" hidden="false" customHeight="true" outlineLevel="0" collapsed="false">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ustomFormat="false" ht="15.75" hidden="false" customHeight="true" outlineLevel="0" collapsed="false">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ustomFormat="false" ht="15.75" hidden="false" customHeight="true" outlineLevel="0" collapsed="false">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ustomFormat="false" ht="15.75" hidden="false" customHeight="true" outlineLevel="0" collapsed="false">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ustomFormat="false" ht="15.75" hidden="false" customHeight="true" outlineLevel="0" collapsed="false">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ustomFormat="false" ht="15.75" hidden="false" customHeight="true" outlineLevel="0" collapsed="false">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ustomFormat="false" ht="15.75" hidden="false" customHeight="true" outlineLevel="0" collapsed="false">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ustomFormat="false" ht="15.75" hidden="false" customHeight="true" outlineLevel="0" collapsed="false">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ustomFormat="false" ht="15.75" hidden="false" customHeight="true" outlineLevel="0" collapsed="false">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ustomFormat="false" ht="15.75" hidden="false" customHeight="true" outlineLevel="0" collapsed="false">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ustomFormat="false" ht="15.75" hidden="false" customHeight="true" outlineLevel="0" collapsed="false">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ustomFormat="false" ht="15.75" hidden="false" customHeight="true" outlineLevel="0" collapsed="false">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ustomFormat="false" ht="15.75" hidden="false" customHeight="true" outlineLevel="0" collapsed="false">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ustomFormat="false" ht="15.75" hidden="false" customHeight="true" outlineLevel="0" collapsed="false">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ustomFormat="false" ht="15.75" hidden="false" customHeight="true" outlineLevel="0" collapsed="false">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ustomFormat="false" ht="15.75" hidden="false" customHeight="true" outlineLevel="0" collapsed="false">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ustomFormat="false" ht="15.75" hidden="false" customHeight="true" outlineLevel="0" collapsed="false">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ustomFormat="false" ht="15.75" hidden="false" customHeight="true" outlineLevel="0" collapsed="false">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ustomFormat="false" ht="15.75" hidden="false" customHeight="true" outlineLevel="0" collapsed="false">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ustomFormat="false" ht="15.75" hidden="false" customHeight="true" outlineLevel="0" collapsed="false">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ustomFormat="false" ht="15.75" hidden="false" customHeight="true" outlineLevel="0" collapsed="false">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ustomFormat="false" ht="15.75" hidden="false" customHeight="true" outlineLevel="0" collapsed="false">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ustomFormat="false" ht="15.75" hidden="false" customHeight="true" outlineLevel="0" collapsed="false">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ustomFormat="false" ht="15.75" hidden="false" customHeight="true" outlineLevel="0" collapsed="false">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ustomFormat="false" ht="15.75" hidden="false" customHeight="true" outlineLevel="0" collapsed="false">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ustomFormat="false" ht="15.75" hidden="false" customHeight="true" outlineLevel="0" collapsed="false">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ustomFormat="false" ht="15.75" hidden="false" customHeight="true" outlineLevel="0" collapsed="false">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ustomFormat="false" ht="15.75" hidden="false" customHeight="true" outlineLevel="0" collapsed="false">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ustomFormat="false" ht="15.75" hidden="false" customHeight="true" outlineLevel="0" collapsed="false">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ustomFormat="false" ht="15.75" hidden="false" customHeight="true" outlineLevel="0" collapsed="false">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ustomFormat="false" ht="15.75" hidden="false" customHeight="true" outlineLevel="0" collapsed="false">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ustomFormat="false" ht="15.75" hidden="false" customHeight="true" outlineLevel="0" collapsed="false">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ustomFormat="false" ht="15.75" hidden="false" customHeight="true" outlineLevel="0" collapsed="false">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ustomFormat="false" ht="15.75" hidden="false" customHeight="true" outlineLevel="0" collapsed="false">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ustomFormat="false" ht="15.75" hidden="false" customHeight="true" outlineLevel="0" collapsed="false">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ustomFormat="false" ht="15.75" hidden="false" customHeight="true" outlineLevel="0" collapsed="false">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ustomFormat="false" ht="15.75" hidden="false" customHeight="true" outlineLevel="0" collapsed="false">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ustomFormat="false" ht="15.75" hidden="false" customHeight="true" outlineLevel="0" collapsed="false">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ustomFormat="false" ht="15.75" hidden="false" customHeight="true" outlineLevel="0" collapsed="false">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ustomFormat="false" ht="15.75" hidden="false" customHeight="true" outlineLevel="0" collapsed="false">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ustomFormat="false" ht="15.75" hidden="false" customHeight="true" outlineLevel="0" collapsed="false">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ustomFormat="false" ht="15.75" hidden="false" customHeight="true" outlineLevel="0" collapsed="false">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ustomFormat="false" ht="15.75" hidden="false" customHeight="true" outlineLevel="0" collapsed="false">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ustomFormat="false" ht="15.75" hidden="false" customHeight="true" outlineLevel="0" collapsed="false">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ustomFormat="false" ht="15.75" hidden="false" customHeight="true" outlineLevel="0" collapsed="false">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ustomFormat="false" ht="15.75" hidden="false" customHeight="true" outlineLevel="0" collapsed="false">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ustomFormat="false" ht="15.75" hidden="false" customHeight="true" outlineLevel="0" collapsed="false">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ustomFormat="false" ht="15.75" hidden="false" customHeight="true" outlineLevel="0" collapsed="false">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ustomFormat="false" ht="15.75" hidden="false" customHeight="true" outlineLevel="0" collapsed="false">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ustomFormat="false" ht="15.75" hidden="false" customHeight="true" outlineLevel="0" collapsed="false">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ustomFormat="false" ht="15.75" hidden="false" customHeight="true" outlineLevel="0" collapsed="false">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ustomFormat="false" ht="15.75" hidden="false" customHeight="true" outlineLevel="0" collapsed="false">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ustomFormat="false" ht="15.75" hidden="false" customHeight="true" outlineLevel="0" collapsed="false">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ustomFormat="false" ht="15.75" hidden="false" customHeight="true" outlineLevel="0" collapsed="false">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ustomFormat="false" ht="15.75" hidden="false" customHeight="true" outlineLevel="0" collapsed="false">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ustomFormat="false" ht="15.75" hidden="false" customHeight="true" outlineLevel="0" collapsed="false">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ustomFormat="false" ht="15.75" hidden="false" customHeight="true" outlineLevel="0" collapsed="false">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ustomFormat="false" ht="15.75" hidden="false" customHeight="true" outlineLevel="0" collapsed="false">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ustomFormat="false" ht="15.75" hidden="false" customHeight="true" outlineLevel="0" collapsed="false">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ustomFormat="false" ht="15.75" hidden="false" customHeight="true" outlineLevel="0" collapsed="false">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ustomFormat="false" ht="15.75" hidden="false" customHeight="true" outlineLevel="0" collapsed="false">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ustomFormat="false" ht="15.75" hidden="false" customHeight="true" outlineLevel="0" collapsed="false">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ustomFormat="false" ht="15.75" hidden="false" customHeight="true" outlineLevel="0" collapsed="false">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ustomFormat="false" ht="15.75" hidden="false" customHeight="true" outlineLevel="0" collapsed="false">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ustomFormat="false" ht="15.75" hidden="false" customHeight="true" outlineLevel="0" collapsed="false">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ustomFormat="false" ht="15.75" hidden="false" customHeight="true" outlineLevel="0" collapsed="false">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ustomFormat="false" ht="15.75" hidden="false" customHeight="true" outlineLevel="0" collapsed="false">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ustomFormat="false" ht="15.75" hidden="false" customHeight="true" outlineLevel="0" collapsed="false">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ustomFormat="false" ht="15.75" hidden="false" customHeight="true" outlineLevel="0" collapsed="false">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ustomFormat="false" ht="15.75" hidden="false" customHeight="true" outlineLevel="0" collapsed="false">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ustomFormat="false" ht="15.75" hidden="false" customHeight="true" outlineLevel="0" collapsed="false">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ustomFormat="false" ht="15.75" hidden="false" customHeight="true" outlineLevel="0" collapsed="false">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ustomFormat="false" ht="15.75" hidden="false" customHeight="true" outlineLevel="0" collapsed="false">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ustomFormat="false" ht="15.75" hidden="false" customHeight="true" outlineLevel="0" collapsed="false">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ustomFormat="false" ht="15.75" hidden="false" customHeight="true" outlineLevel="0" collapsed="false">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ustomFormat="false" ht="15.75" hidden="false" customHeight="true" outlineLevel="0" collapsed="false">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ustomFormat="false" ht="15.75" hidden="false" customHeight="true" outlineLevel="0" collapsed="false">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ustomFormat="false" ht="15.75" hidden="false" customHeight="true" outlineLevel="0" collapsed="false">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ustomFormat="false" ht="15.75" hidden="false" customHeight="true" outlineLevel="0" collapsed="false">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ustomFormat="false" ht="15.75" hidden="false" customHeight="true" outlineLevel="0" collapsed="false">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ustomFormat="false" ht="15.75" hidden="false" customHeight="true" outlineLevel="0" collapsed="false">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ustomFormat="false" ht="15.75" hidden="false" customHeight="true" outlineLevel="0" collapsed="false">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ustomFormat="false" ht="15.75" hidden="false" customHeight="true" outlineLevel="0" collapsed="false">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ustomFormat="false" ht="15.75" hidden="false" customHeight="true" outlineLevel="0" collapsed="false">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ustomFormat="false" ht="15.75" hidden="false" customHeight="true" outlineLevel="0" collapsed="false">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ustomFormat="false" ht="15.75" hidden="false" customHeight="true" outlineLevel="0" collapsed="false">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ustomFormat="false" ht="15.75" hidden="false" customHeight="true" outlineLevel="0" collapsed="false">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ustomFormat="false" ht="15.75" hidden="false" customHeight="true" outlineLevel="0" collapsed="false">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ustomFormat="false" ht="15.75" hidden="false" customHeight="true" outlineLevel="0" collapsed="false">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ustomFormat="false" ht="15.75" hidden="false" customHeight="true" outlineLevel="0" collapsed="false">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ustomFormat="false" ht="15.75" hidden="false" customHeight="true" outlineLevel="0" collapsed="false">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ustomFormat="false" ht="15.75" hidden="false" customHeight="true" outlineLevel="0" collapsed="false">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ustomFormat="false" ht="15.75" hidden="false" customHeight="true" outlineLevel="0" collapsed="false">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ustomFormat="false" ht="15.75" hidden="false" customHeight="true" outlineLevel="0" collapsed="false">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ustomFormat="false" ht="15.75" hidden="false" customHeight="true" outlineLevel="0" collapsed="false">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ustomFormat="false" ht="15.75" hidden="false" customHeight="true" outlineLevel="0" collapsed="false">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ustomFormat="false" ht="15.75" hidden="false" customHeight="true" outlineLevel="0" collapsed="false">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ustomFormat="false" ht="15.75" hidden="false" customHeight="true" outlineLevel="0" collapsed="false">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ustomFormat="false" ht="15.75" hidden="false" customHeight="true" outlineLevel="0" collapsed="false">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ustomFormat="false" ht="15.75" hidden="false" customHeight="true" outlineLevel="0" collapsed="false">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ustomFormat="false" ht="15.75" hidden="false" customHeight="true" outlineLevel="0" collapsed="false">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ustomFormat="false" ht="15.75" hidden="false" customHeight="true" outlineLevel="0" collapsed="false">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ustomFormat="false" ht="15.75" hidden="false" customHeight="true" outlineLevel="0" collapsed="false">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ustomFormat="false" ht="15.75" hidden="false" customHeight="true" outlineLevel="0" collapsed="false">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ustomFormat="false" ht="15.75" hidden="false" customHeight="true" outlineLevel="0" collapsed="false">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ustomFormat="false" ht="15.75" hidden="false" customHeight="true" outlineLevel="0" collapsed="false">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ustomFormat="false" ht="15.75" hidden="false" customHeight="true" outlineLevel="0" collapsed="false">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ustomFormat="false" ht="15.75" hidden="false" customHeight="true" outlineLevel="0" collapsed="false">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ustomFormat="false" ht="15.75" hidden="false" customHeight="true" outlineLevel="0" collapsed="false">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ustomFormat="false" ht="15.75" hidden="false" customHeight="true" outlineLevel="0" collapsed="false">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ustomFormat="false" ht="15.75" hidden="false" customHeight="true" outlineLevel="0" collapsed="false">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ustomFormat="false" ht="15.75" hidden="false" customHeight="true" outlineLevel="0" collapsed="false">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ustomFormat="false" ht="15.75" hidden="false" customHeight="true" outlineLevel="0" collapsed="false">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ustomFormat="false" ht="15.75" hidden="false" customHeight="true" outlineLevel="0" collapsed="false">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ustomFormat="false" ht="15.75" hidden="false" customHeight="true" outlineLevel="0" collapsed="false">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ustomFormat="false" ht="15.75" hidden="false" customHeight="true" outlineLevel="0" collapsed="false">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ustomFormat="false" ht="15.75" hidden="false" customHeight="true" outlineLevel="0" collapsed="false">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ustomFormat="false" ht="15.75" hidden="false" customHeight="true" outlineLevel="0" collapsed="false">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ustomFormat="false" ht="15.75" hidden="false" customHeight="true" outlineLevel="0" collapsed="false">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ustomFormat="false" ht="15.75" hidden="false" customHeight="true" outlineLevel="0" collapsed="false">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ustomFormat="false" ht="15.75" hidden="false" customHeight="true" outlineLevel="0" collapsed="false">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ustomFormat="false" ht="15.75" hidden="false" customHeight="true" outlineLevel="0" collapsed="false">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ustomFormat="false" ht="15.75" hidden="false" customHeight="true" outlineLevel="0" collapsed="false">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ustomFormat="false" ht="15.75" hidden="false" customHeight="true" outlineLevel="0" collapsed="false">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ustomFormat="false" ht="15.75" hidden="false" customHeight="true" outlineLevel="0" collapsed="false">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ustomFormat="false" ht="15.75" hidden="false" customHeight="true" outlineLevel="0" collapsed="false">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ustomFormat="false" ht="15.75" hidden="false" customHeight="true" outlineLevel="0" collapsed="false">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ustomFormat="false" ht="15.75" hidden="false" customHeight="true" outlineLevel="0" collapsed="false">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ustomFormat="false" ht="15.75" hidden="false" customHeight="true" outlineLevel="0" collapsed="false">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ustomFormat="false" ht="15.75" hidden="false" customHeight="true" outlineLevel="0" collapsed="false">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ustomFormat="false" ht="15.75" hidden="false" customHeight="true" outlineLevel="0" collapsed="false">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ustomFormat="false" ht="15.75" hidden="false" customHeight="true" outlineLevel="0" collapsed="false">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ustomFormat="false" ht="15.75" hidden="false" customHeight="true" outlineLevel="0" collapsed="false">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ustomFormat="false" ht="15.75" hidden="false" customHeight="true" outlineLevel="0" collapsed="false">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ustomFormat="false" ht="15.75" hidden="false" customHeight="true" outlineLevel="0" collapsed="false">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ustomFormat="false" ht="15.75" hidden="false" customHeight="true" outlineLevel="0" collapsed="false">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ustomFormat="false" ht="15.75" hidden="false" customHeight="true" outlineLevel="0" collapsed="false">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ustomFormat="false" ht="15.75" hidden="false" customHeight="true" outlineLevel="0" collapsed="false">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ustomFormat="false" ht="15.75" hidden="false" customHeight="true" outlineLevel="0" collapsed="false">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ustomFormat="false" ht="15.75" hidden="false" customHeight="true" outlineLevel="0" collapsed="false">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ustomFormat="false" ht="15.75" hidden="false" customHeight="true" outlineLevel="0" collapsed="false">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ustomFormat="false" ht="15.75" hidden="false" customHeight="true" outlineLevel="0" collapsed="false">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ustomFormat="false" ht="15.75" hidden="false" customHeight="true" outlineLevel="0" collapsed="false">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ustomFormat="false" ht="15.75" hidden="false" customHeight="true" outlineLevel="0" collapsed="false">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ustomFormat="false" ht="15.75" hidden="false" customHeight="true" outlineLevel="0" collapsed="false">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ustomFormat="false" ht="15.75" hidden="false" customHeight="true" outlineLevel="0" collapsed="false">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ustomFormat="false" ht="15.75" hidden="false" customHeight="true" outlineLevel="0" collapsed="false">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ustomFormat="false" ht="15.75" hidden="false" customHeight="true" outlineLevel="0" collapsed="false">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ustomFormat="false" ht="15.75" hidden="false" customHeight="true" outlineLevel="0" collapsed="false">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ustomFormat="false" ht="15.75" hidden="false" customHeight="true" outlineLevel="0" collapsed="false">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ustomFormat="false" ht="15.75" hidden="false" customHeight="true" outlineLevel="0" collapsed="false">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ustomFormat="false" ht="15.75" hidden="false" customHeight="true" outlineLevel="0" collapsed="false">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ustomFormat="false" ht="15.75" hidden="false" customHeight="true" outlineLevel="0" collapsed="false">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ustomFormat="false" ht="15.75" hidden="false" customHeight="true" outlineLevel="0" collapsed="false">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ustomFormat="false" ht="15.75" hidden="false" customHeight="true" outlineLevel="0" collapsed="false">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ustomFormat="false" ht="15.75" hidden="false" customHeight="true" outlineLevel="0" collapsed="false">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ustomFormat="false" ht="15.75" hidden="false" customHeight="true" outlineLevel="0" collapsed="false">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ustomFormat="false" ht="15.75" hidden="false" customHeight="true" outlineLevel="0" collapsed="false">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ustomFormat="false" ht="15.75" hidden="false" customHeight="true" outlineLevel="0" collapsed="false">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ustomFormat="false" ht="15.75" hidden="false" customHeight="true" outlineLevel="0" collapsed="false">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ustomFormat="false" ht="15.75" hidden="false" customHeight="true" outlineLevel="0" collapsed="false">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ustomFormat="false" ht="15.75" hidden="false" customHeight="true" outlineLevel="0" collapsed="false">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ustomFormat="false" ht="15.75" hidden="false" customHeight="true" outlineLevel="0" collapsed="false">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ustomFormat="false" ht="15.75" hidden="false" customHeight="true" outlineLevel="0" collapsed="false">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ustomFormat="false" ht="15.75" hidden="false" customHeight="true" outlineLevel="0" collapsed="false">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ustomFormat="false" ht="15.75" hidden="false" customHeight="true" outlineLevel="0" collapsed="false">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ustomFormat="false" ht="15.75" hidden="false" customHeight="true" outlineLevel="0" collapsed="false">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ustomFormat="false" ht="15.75" hidden="false" customHeight="true" outlineLevel="0" collapsed="false">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ustomFormat="false" ht="15.75" hidden="false" customHeight="true" outlineLevel="0" collapsed="false">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ustomFormat="false" ht="15.75" hidden="false" customHeight="true" outlineLevel="0" collapsed="false">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ustomFormat="false" ht="15.75" hidden="false" customHeight="true" outlineLevel="0" collapsed="false">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ustomFormat="false" ht="15.75" hidden="false" customHeight="true" outlineLevel="0" collapsed="false">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ustomFormat="false" ht="15.75" hidden="false" customHeight="true" outlineLevel="0" collapsed="false">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ustomFormat="false" ht="15.75" hidden="false" customHeight="true" outlineLevel="0" collapsed="false">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ustomFormat="false" ht="15.75" hidden="false" customHeight="true" outlineLevel="0" collapsed="false">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ustomFormat="false" ht="15.75" hidden="false" customHeight="true" outlineLevel="0" collapsed="false">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ustomFormat="false" ht="15.75" hidden="false" customHeight="true" outlineLevel="0" collapsed="false">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ustomFormat="false" ht="15.75" hidden="false" customHeight="true" outlineLevel="0" collapsed="false">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ustomFormat="false" ht="15.75" hidden="false" customHeight="true" outlineLevel="0" collapsed="false">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ustomFormat="false" ht="15.75" hidden="false" customHeight="true" outlineLevel="0" collapsed="false">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ustomFormat="false" ht="15.75" hidden="false" customHeight="true" outlineLevel="0" collapsed="false">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ustomFormat="false" ht="15.75" hidden="false" customHeight="true" outlineLevel="0" collapsed="false">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ustomFormat="false" ht="15.75" hidden="false" customHeight="true" outlineLevel="0" collapsed="false">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ustomFormat="false" ht="15.75" hidden="false" customHeight="true" outlineLevel="0" collapsed="false">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ustomFormat="false" ht="15.75" hidden="false" customHeight="true" outlineLevel="0" collapsed="false">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ustomFormat="false" ht="15.75" hidden="false" customHeight="true" outlineLevel="0" collapsed="false">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ustomFormat="false" ht="15.75" hidden="false" customHeight="true" outlineLevel="0" collapsed="false">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ustomFormat="false" ht="15.75" hidden="false" customHeight="true" outlineLevel="0" collapsed="false">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ustomFormat="false" ht="15.75" hidden="false" customHeight="true" outlineLevel="0" collapsed="false">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ustomFormat="false" ht="15.75" hidden="false" customHeight="true" outlineLevel="0" collapsed="false">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ustomFormat="false" ht="15.75" hidden="false" customHeight="true" outlineLevel="0" collapsed="false">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ustomFormat="false" ht="15.75" hidden="false" customHeight="true" outlineLevel="0" collapsed="false">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ustomFormat="false" ht="15.75" hidden="false" customHeight="true" outlineLevel="0" collapsed="false">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ustomFormat="false" ht="15.75" hidden="false" customHeight="true" outlineLevel="0" collapsed="false">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ustomFormat="false" ht="15.75" hidden="false" customHeight="true" outlineLevel="0" collapsed="false">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ustomFormat="false" ht="15.75" hidden="false" customHeight="true" outlineLevel="0" collapsed="false">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ustomFormat="false" ht="15.75" hidden="false" customHeight="true" outlineLevel="0" collapsed="false">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ustomFormat="false" ht="15.75" hidden="false" customHeight="true" outlineLevel="0" collapsed="false">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ustomFormat="false" ht="15.75" hidden="false" customHeight="true" outlineLevel="0" collapsed="false">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ustomFormat="false" ht="15.75" hidden="false" customHeight="true" outlineLevel="0" collapsed="false">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ustomFormat="false" ht="15.75" hidden="false" customHeight="true" outlineLevel="0" collapsed="false">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ustomFormat="false" ht="15.75" hidden="false" customHeight="true" outlineLevel="0" collapsed="false">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ustomFormat="false" ht="15.75" hidden="false" customHeight="true" outlineLevel="0" collapsed="false">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ustomFormat="false" ht="15.75" hidden="false" customHeight="true" outlineLevel="0" collapsed="false">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ustomFormat="false" ht="15.75" hidden="false" customHeight="true" outlineLevel="0" collapsed="false">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ustomFormat="false" ht="15.75" hidden="false" customHeight="true" outlineLevel="0" collapsed="false">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ustomFormat="false" ht="15.75" hidden="false" customHeight="true" outlineLevel="0" collapsed="false">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ustomFormat="false" ht="15.75" hidden="false" customHeight="true" outlineLevel="0" collapsed="false">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ustomFormat="false" ht="15.75" hidden="false" customHeight="true" outlineLevel="0" collapsed="false">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ustomFormat="false" ht="15.75" hidden="false" customHeight="true" outlineLevel="0" collapsed="false">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ustomFormat="false" ht="15.75" hidden="false" customHeight="true" outlineLevel="0" collapsed="false">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ustomFormat="false" ht="15.75" hidden="false" customHeight="true" outlineLevel="0" collapsed="false">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ustomFormat="false" ht="15.75" hidden="false" customHeight="true" outlineLevel="0" collapsed="false">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ustomFormat="false" ht="15.75" hidden="false" customHeight="true" outlineLevel="0" collapsed="false">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ustomFormat="false" ht="15.75" hidden="false" customHeight="true" outlineLevel="0" collapsed="false">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ustomFormat="false" ht="15.75" hidden="false" customHeight="true" outlineLevel="0" collapsed="false">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ustomFormat="false" ht="15.75" hidden="false" customHeight="true" outlineLevel="0" collapsed="false">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ustomFormat="false" ht="15.75" hidden="false" customHeight="true" outlineLevel="0" collapsed="false">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ustomFormat="false" ht="15.75" hidden="false" customHeight="true" outlineLevel="0" collapsed="false">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ustomFormat="false" ht="15.75" hidden="false" customHeight="true" outlineLevel="0" collapsed="false">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ustomFormat="false" ht="15.75" hidden="false" customHeight="true" outlineLevel="0" collapsed="false">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ustomFormat="false" ht="15.75" hidden="false" customHeight="true" outlineLevel="0" collapsed="false">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ustomFormat="false" ht="15.75" hidden="false" customHeight="true" outlineLevel="0" collapsed="false">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ustomFormat="false" ht="15.75" hidden="false" customHeight="true" outlineLevel="0" collapsed="false">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ustomFormat="false" ht="15.75" hidden="false" customHeight="true" outlineLevel="0" collapsed="false">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ustomFormat="false" ht="15.75" hidden="false" customHeight="true" outlineLevel="0" collapsed="false">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ustomFormat="false" ht="15.75" hidden="false" customHeight="true" outlineLevel="0" collapsed="false">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ustomFormat="false" ht="15.75" hidden="false" customHeight="true" outlineLevel="0" collapsed="false">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ustomFormat="false" ht="15.75" hidden="false" customHeight="true" outlineLevel="0" collapsed="false">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ustomFormat="false" ht="15.75" hidden="false" customHeight="true" outlineLevel="0" collapsed="false">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ustomFormat="false" ht="15.75" hidden="false" customHeight="true" outlineLevel="0" collapsed="false">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ustomFormat="false" ht="15.75" hidden="false" customHeight="true" outlineLevel="0" collapsed="false">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ustomFormat="false" ht="15.75" hidden="false" customHeight="true" outlineLevel="0" collapsed="false">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ustomFormat="false" ht="15.75" hidden="false" customHeight="true" outlineLevel="0" collapsed="false">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ustomFormat="false" ht="15.75" hidden="false" customHeight="true" outlineLevel="0" collapsed="false">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ustomFormat="false" ht="15.75" hidden="false" customHeight="true" outlineLevel="0" collapsed="false">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ustomFormat="false" ht="15.75" hidden="false" customHeight="true" outlineLevel="0" collapsed="false">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ustomFormat="false" ht="15.75" hidden="false" customHeight="true" outlineLevel="0" collapsed="false">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ustomFormat="false" ht="15.75" hidden="false" customHeight="true" outlineLevel="0" collapsed="false">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ustomFormat="false" ht="15.75" hidden="false" customHeight="true" outlineLevel="0" collapsed="false">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ustomFormat="false" ht="15.75" hidden="false" customHeight="true" outlineLevel="0" collapsed="false">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ustomFormat="false" ht="15.75" hidden="false" customHeight="true" outlineLevel="0" collapsed="false">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ustomFormat="false" ht="15.75" hidden="false" customHeight="true" outlineLevel="0" collapsed="false">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ustomFormat="false" ht="15.75" hidden="false" customHeight="true" outlineLevel="0" collapsed="false">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ustomFormat="false" ht="15.75" hidden="false" customHeight="true" outlineLevel="0" collapsed="false">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ustomFormat="false" ht="15.75" hidden="false" customHeight="true" outlineLevel="0" collapsed="false">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ustomFormat="false" ht="15.75" hidden="false" customHeight="true" outlineLevel="0" collapsed="false">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ustomFormat="false" ht="15.75" hidden="false" customHeight="true" outlineLevel="0" collapsed="false">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ustomFormat="false" ht="15.75" hidden="false" customHeight="true" outlineLevel="0" collapsed="false">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ustomFormat="false" ht="15.75" hidden="false" customHeight="true" outlineLevel="0" collapsed="false">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ustomFormat="false" ht="15.75" hidden="false" customHeight="true" outlineLevel="0" collapsed="false">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ustomFormat="false" ht="15.75" hidden="false" customHeight="true" outlineLevel="0" collapsed="false">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ustomFormat="false" ht="15.75" hidden="false" customHeight="true" outlineLevel="0" collapsed="false">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ustomFormat="false" ht="15.75" hidden="false" customHeight="true" outlineLevel="0" collapsed="false">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ustomFormat="false" ht="15.75" hidden="false" customHeight="true" outlineLevel="0" collapsed="false">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ustomFormat="false" ht="15.75" hidden="false" customHeight="true" outlineLevel="0" collapsed="false">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ustomFormat="false" ht="15.75" hidden="false" customHeight="true" outlineLevel="0" collapsed="false">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ustomFormat="false" ht="15.75" hidden="false" customHeight="true" outlineLevel="0" collapsed="false">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ustomFormat="false" ht="15.75" hidden="false" customHeight="true" outlineLevel="0" collapsed="false">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ustomFormat="false" ht="15.75" hidden="false" customHeight="true" outlineLevel="0" collapsed="false">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ustomFormat="false" ht="15.75" hidden="false" customHeight="true" outlineLevel="0" collapsed="false">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ustomFormat="false" ht="15.75" hidden="false" customHeight="true" outlineLevel="0" collapsed="false">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ustomFormat="false" ht="15.75" hidden="false" customHeight="true" outlineLevel="0" collapsed="false">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ustomFormat="false" ht="15.75" hidden="false" customHeight="true" outlineLevel="0" collapsed="false">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ustomFormat="false" ht="15.75" hidden="false" customHeight="true" outlineLevel="0" collapsed="false">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ustomFormat="false" ht="15.75" hidden="false" customHeight="true" outlineLevel="0" collapsed="false">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ustomFormat="false" ht="15.75" hidden="false" customHeight="true" outlineLevel="0" collapsed="false">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ustomFormat="false" ht="15.75" hidden="false" customHeight="true" outlineLevel="0" collapsed="false">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ustomFormat="false" ht="15.75" hidden="false" customHeight="true" outlineLevel="0" collapsed="false">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ustomFormat="false" ht="15.75" hidden="false" customHeight="true" outlineLevel="0" collapsed="false">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ustomFormat="false" ht="15.75" hidden="false" customHeight="true" outlineLevel="0" collapsed="false">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ustomFormat="false" ht="15.75" hidden="false" customHeight="true" outlineLevel="0" collapsed="false">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ustomFormat="false" ht="15.75" hidden="false" customHeight="true" outlineLevel="0" collapsed="false">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ustomFormat="false" ht="15.75" hidden="false" customHeight="true" outlineLevel="0" collapsed="false">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ustomFormat="false" ht="15.75" hidden="false" customHeight="true" outlineLevel="0" collapsed="false">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ustomFormat="false" ht="15.75" hidden="false" customHeight="true" outlineLevel="0" collapsed="false">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ustomFormat="false" ht="15.75" hidden="false" customHeight="true" outlineLevel="0" collapsed="false">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ustomFormat="false" ht="15.75" hidden="false" customHeight="true" outlineLevel="0" collapsed="false">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ustomFormat="false" ht="15.75" hidden="false" customHeight="true" outlineLevel="0" collapsed="false">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ustomFormat="false" ht="15.75" hidden="false" customHeight="true" outlineLevel="0" collapsed="false">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ustomFormat="false" ht="15.75" hidden="false" customHeight="true" outlineLevel="0" collapsed="false">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ustomFormat="false" ht="15.75" hidden="false" customHeight="true" outlineLevel="0" collapsed="false">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ustomFormat="false" ht="15.75" hidden="false" customHeight="true" outlineLevel="0" collapsed="false">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ustomFormat="false" ht="15.75" hidden="false" customHeight="true" outlineLevel="0" collapsed="false">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ustomFormat="false" ht="15.75" hidden="false" customHeight="true" outlineLevel="0" collapsed="false">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ustomFormat="false" ht="15.75" hidden="false" customHeight="true" outlineLevel="0" collapsed="false">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ustomFormat="false" ht="15.75" hidden="false" customHeight="true" outlineLevel="0" collapsed="false">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ustomFormat="false" ht="15.75" hidden="false" customHeight="true" outlineLevel="0" collapsed="false">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ustomFormat="false" ht="15.75" hidden="false" customHeight="true" outlineLevel="0" collapsed="false">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ustomFormat="false" ht="15.75" hidden="false" customHeight="true" outlineLevel="0" collapsed="false">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ustomFormat="false" ht="15.75" hidden="false" customHeight="true" outlineLevel="0" collapsed="false">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ustomFormat="false" ht="15.75" hidden="false" customHeight="true" outlineLevel="0" collapsed="false">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ustomFormat="false" ht="15.75" hidden="false" customHeight="true" outlineLevel="0" collapsed="false">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ustomFormat="false" ht="15.75" hidden="false" customHeight="true" outlineLevel="0" collapsed="false">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ustomFormat="false" ht="15.75" hidden="false" customHeight="true" outlineLevel="0" collapsed="false">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ustomFormat="false" ht="15.75" hidden="false" customHeight="true" outlineLevel="0" collapsed="false">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ustomFormat="false" ht="15.75" hidden="false" customHeight="true" outlineLevel="0" collapsed="false">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ustomFormat="false" ht="15.75" hidden="false" customHeight="true" outlineLevel="0" collapsed="false">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ustomFormat="false" ht="15.75" hidden="false" customHeight="true" outlineLevel="0" collapsed="false">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ustomFormat="false" ht="15.75" hidden="false" customHeight="true" outlineLevel="0" collapsed="false">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ustomFormat="false" ht="15.75" hidden="false" customHeight="true" outlineLevel="0" collapsed="false">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ustomFormat="false" ht="15.75" hidden="false" customHeight="true" outlineLevel="0" collapsed="false">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ustomFormat="false" ht="15.75" hidden="false" customHeight="true" outlineLevel="0" collapsed="false">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ustomFormat="false" ht="15.75" hidden="false" customHeight="true" outlineLevel="0" collapsed="false">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ustomFormat="false" ht="15.75" hidden="false" customHeight="true" outlineLevel="0" collapsed="false">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ustomFormat="false" ht="15.75" hidden="false" customHeight="true" outlineLevel="0" collapsed="false">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ustomFormat="false" ht="15.75" hidden="false" customHeight="true" outlineLevel="0" collapsed="false">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ustomFormat="false" ht="15.75" hidden="false" customHeight="true" outlineLevel="0" collapsed="false">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ustomFormat="false" ht="15.75" hidden="false" customHeight="true" outlineLevel="0" collapsed="false">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ustomFormat="false" ht="15.75" hidden="false" customHeight="true" outlineLevel="0" collapsed="false">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ustomFormat="false" ht="15.75" hidden="false" customHeight="true" outlineLevel="0" collapsed="false">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ustomFormat="false" ht="15.75" hidden="false" customHeight="true" outlineLevel="0" collapsed="false">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ustomFormat="false" ht="15.75" hidden="false" customHeight="true" outlineLevel="0" collapsed="false">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ustomFormat="false" ht="15.75" hidden="false" customHeight="true" outlineLevel="0" collapsed="false">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ustomFormat="false" ht="15.75" hidden="false" customHeight="true" outlineLevel="0" collapsed="false">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ustomFormat="false" ht="15.75" hidden="false" customHeight="true" outlineLevel="0" collapsed="false">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ustomFormat="false" ht="15.75" hidden="false" customHeight="true" outlineLevel="0" collapsed="false">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ustomFormat="false" ht="15.75" hidden="false" customHeight="true" outlineLevel="0" collapsed="false">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ustomFormat="false" ht="15.75" hidden="false" customHeight="true" outlineLevel="0" collapsed="false">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ustomFormat="false" ht="15.75" hidden="false" customHeight="true" outlineLevel="0" collapsed="false">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ustomFormat="false" ht="15.75" hidden="false" customHeight="true" outlineLevel="0" collapsed="false">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ustomFormat="false" ht="15.75" hidden="false" customHeight="true" outlineLevel="0" collapsed="false">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ustomFormat="false" ht="15.75" hidden="false" customHeight="true" outlineLevel="0" collapsed="false">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ustomFormat="false" ht="15.75" hidden="false" customHeight="true" outlineLevel="0" collapsed="false">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ustomFormat="false" ht="15.75" hidden="false" customHeight="true" outlineLevel="0" collapsed="false">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ustomFormat="false" ht="15.75" hidden="false" customHeight="true" outlineLevel="0" collapsed="false">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ustomFormat="false" ht="15.75" hidden="false" customHeight="true" outlineLevel="0" collapsed="false">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ustomFormat="false" ht="15.75" hidden="false" customHeight="true" outlineLevel="0" collapsed="false">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ustomFormat="false" ht="15.75" hidden="false" customHeight="true" outlineLevel="0" collapsed="false">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ustomFormat="false" ht="15.75" hidden="false" customHeight="true" outlineLevel="0" collapsed="false">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ustomFormat="false" ht="15.75" hidden="false" customHeight="true" outlineLevel="0" collapsed="false">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ustomFormat="false" ht="15.75" hidden="false" customHeight="true" outlineLevel="0" collapsed="false">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ustomFormat="false" ht="15.75" hidden="false" customHeight="true" outlineLevel="0" collapsed="false">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ustomFormat="false" ht="15.75" hidden="false" customHeight="true" outlineLevel="0" collapsed="false">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ustomFormat="false" ht="15.75" hidden="false" customHeight="true" outlineLevel="0" collapsed="false">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ustomFormat="false" ht="15.75" hidden="false" customHeight="true" outlineLevel="0" collapsed="false">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ustomFormat="false" ht="15.75" hidden="false" customHeight="true" outlineLevel="0" collapsed="false">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ustomFormat="false" ht="15.75" hidden="false" customHeight="true" outlineLevel="0" collapsed="false">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ustomFormat="false" ht="15.75" hidden="false" customHeight="true" outlineLevel="0" collapsed="false">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ustomFormat="false" ht="15.75" hidden="false" customHeight="true" outlineLevel="0" collapsed="false">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ustomFormat="false" ht="15.75" hidden="false" customHeight="true" outlineLevel="0" collapsed="false">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ustomFormat="false" ht="15.75" hidden="false" customHeight="true" outlineLevel="0" collapsed="false">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ustomFormat="false" ht="15.75" hidden="false" customHeight="true" outlineLevel="0" collapsed="false">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ustomFormat="false" ht="15.75" hidden="false" customHeight="true" outlineLevel="0" collapsed="false">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ustomFormat="false" ht="15.75" hidden="false" customHeight="true" outlineLevel="0" collapsed="false">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ustomFormat="false" ht="15.75" hidden="false" customHeight="true" outlineLevel="0" collapsed="false">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ustomFormat="false" ht="15.75" hidden="false" customHeight="true" outlineLevel="0" collapsed="false">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ustomFormat="false" ht="15.75" hidden="false" customHeight="true" outlineLevel="0" collapsed="false">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ustomFormat="false" ht="15.75" hidden="false" customHeight="true" outlineLevel="0" collapsed="false">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ustomFormat="false" ht="15.75" hidden="false" customHeight="true" outlineLevel="0" collapsed="false">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ustomFormat="false" ht="15.75" hidden="false" customHeight="true" outlineLevel="0" collapsed="false">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ustomFormat="false" ht="15.75" hidden="false" customHeight="true" outlineLevel="0" collapsed="false">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ustomFormat="false" ht="15.75" hidden="false" customHeight="true" outlineLevel="0" collapsed="false">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ustomFormat="false" ht="15.75" hidden="false" customHeight="true" outlineLevel="0" collapsed="false">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ustomFormat="false" ht="15.75" hidden="false" customHeight="true" outlineLevel="0" collapsed="false">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ustomFormat="false" ht="15.75" hidden="false" customHeight="true" outlineLevel="0" collapsed="false">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ustomFormat="false" ht="15.75" hidden="false" customHeight="true" outlineLevel="0" collapsed="false">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ustomFormat="false" ht="15.75" hidden="false" customHeight="true" outlineLevel="0" collapsed="false">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ustomFormat="false" ht="15.75" hidden="false" customHeight="true" outlineLevel="0" collapsed="false">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ustomFormat="false" ht="15.75" hidden="false" customHeight="true" outlineLevel="0" collapsed="false">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ustomFormat="false" ht="15.75" hidden="false" customHeight="true" outlineLevel="0" collapsed="false">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ustomFormat="false" ht="15.75" hidden="false" customHeight="true" outlineLevel="0" collapsed="false">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ustomFormat="false" ht="15.75" hidden="false" customHeight="true" outlineLevel="0" collapsed="false">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ustomFormat="false" ht="15.75" hidden="false" customHeight="true" outlineLevel="0" collapsed="false">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ustomFormat="false" ht="15.75" hidden="false" customHeight="true" outlineLevel="0" collapsed="false">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ustomFormat="false" ht="15.75" hidden="false" customHeight="true" outlineLevel="0" collapsed="false">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ustomFormat="false" ht="15.75" hidden="false" customHeight="true" outlineLevel="0" collapsed="false">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ustomFormat="false" ht="15.75" hidden="false" customHeight="true" outlineLevel="0" collapsed="false">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ustomFormat="false" ht="15.75" hidden="false" customHeight="true" outlineLevel="0" collapsed="false">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ustomFormat="false" ht="15.75" hidden="false" customHeight="true" outlineLevel="0" collapsed="false">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ustomFormat="false" ht="15.75" hidden="false" customHeight="true" outlineLevel="0" collapsed="false">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ustomFormat="false" ht="15.75" hidden="false" customHeight="true" outlineLevel="0" collapsed="false">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ustomFormat="false" ht="15.75" hidden="false" customHeight="true" outlineLevel="0" collapsed="false">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ustomFormat="false" ht="15.75" hidden="false" customHeight="true" outlineLevel="0" collapsed="false">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ustomFormat="false" ht="15.75" hidden="false" customHeight="true" outlineLevel="0" collapsed="false">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ustomFormat="false" ht="15.75" hidden="false" customHeight="true" outlineLevel="0" collapsed="false">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ustomFormat="false" ht="15.75" hidden="false" customHeight="true" outlineLevel="0" collapsed="false">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ustomFormat="false" ht="15.75" hidden="false" customHeight="true" outlineLevel="0" collapsed="false">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ustomFormat="false" ht="15.75" hidden="false" customHeight="true" outlineLevel="0" collapsed="false">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ustomFormat="false" ht="15.75" hidden="false" customHeight="true" outlineLevel="0" collapsed="false">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ustomFormat="false" ht="15.75" hidden="false" customHeight="true" outlineLevel="0" collapsed="false">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ustomFormat="false" ht="15.75" hidden="false" customHeight="true" outlineLevel="0" collapsed="false">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ustomFormat="false" ht="15.75" hidden="false" customHeight="true" outlineLevel="0" collapsed="false">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ustomFormat="false" ht="15.75" hidden="false" customHeight="true" outlineLevel="0" collapsed="false">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ustomFormat="false" ht="15.75" hidden="false" customHeight="true" outlineLevel="0" collapsed="false">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ustomFormat="false" ht="15.75" hidden="false" customHeight="true" outlineLevel="0" collapsed="false">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ustomFormat="false" ht="15.75" hidden="false" customHeight="true" outlineLevel="0" collapsed="false">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ustomFormat="false" ht="15.75" hidden="false" customHeight="true" outlineLevel="0" collapsed="false">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ustomFormat="false" ht="15.75" hidden="false" customHeight="true" outlineLevel="0" collapsed="false">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ustomFormat="false" ht="15.75" hidden="false" customHeight="true" outlineLevel="0" collapsed="false">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ustomFormat="false" ht="15.75" hidden="false" customHeight="true" outlineLevel="0" collapsed="false">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ustomFormat="false" ht="15.75" hidden="false" customHeight="true" outlineLevel="0" collapsed="false">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ustomFormat="false" ht="15.75" hidden="false" customHeight="true" outlineLevel="0" collapsed="false">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ustomFormat="false" ht="15.75" hidden="false" customHeight="true" outlineLevel="0" collapsed="false">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ustomFormat="false" ht="15.75" hidden="false" customHeight="true" outlineLevel="0" collapsed="false">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ustomFormat="false" ht="15.75" hidden="false" customHeight="true" outlineLevel="0" collapsed="false">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ustomFormat="false" ht="15.75" hidden="false" customHeight="true" outlineLevel="0" collapsed="false">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ustomFormat="false" ht="15.75" hidden="false" customHeight="true" outlineLevel="0" collapsed="false">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ustomFormat="false" ht="15.75" hidden="false" customHeight="true" outlineLevel="0" collapsed="false">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ustomFormat="false" ht="15.75" hidden="false" customHeight="true" outlineLevel="0" collapsed="false">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ustomFormat="false" ht="15.75" hidden="false" customHeight="true" outlineLevel="0" collapsed="false">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ustomFormat="false" ht="15.75" hidden="false" customHeight="true" outlineLevel="0" collapsed="false">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ustomFormat="false" ht="15.75" hidden="false" customHeight="true" outlineLevel="0" collapsed="false">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ustomFormat="false" ht="15.75" hidden="false" customHeight="true" outlineLevel="0" collapsed="false">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ustomFormat="false" ht="15.75" hidden="false" customHeight="true" outlineLevel="0" collapsed="false">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ustomFormat="false" ht="15.75" hidden="false" customHeight="true" outlineLevel="0" collapsed="false">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ustomFormat="false" ht="15.75" hidden="false" customHeight="true" outlineLevel="0" collapsed="false">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ustomFormat="false" ht="15.75" hidden="false" customHeight="true" outlineLevel="0" collapsed="false">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ustomFormat="false" ht="15.75" hidden="false" customHeight="true" outlineLevel="0" collapsed="false">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ustomFormat="false" ht="15.75" hidden="false" customHeight="true" outlineLevel="0" collapsed="false">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ustomFormat="false" ht="15.75" hidden="false" customHeight="true" outlineLevel="0" collapsed="false">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ustomFormat="false" ht="15.75" hidden="false" customHeight="true" outlineLevel="0" collapsed="false">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ustomFormat="false" ht="15.75" hidden="false" customHeight="true" outlineLevel="0" collapsed="false">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ustomFormat="false" ht="15.75" hidden="false" customHeight="true" outlineLevel="0" collapsed="false">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ustomFormat="false" ht="15.75" hidden="false" customHeight="true" outlineLevel="0" collapsed="false">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ustomFormat="false" ht="15.75" hidden="false" customHeight="true" outlineLevel="0" collapsed="false">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ustomFormat="false" ht="15.75" hidden="false" customHeight="true" outlineLevel="0" collapsed="false">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ustomFormat="false" ht="15.75" hidden="false" customHeight="true" outlineLevel="0" collapsed="false">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ustomFormat="false" ht="15.75" hidden="false" customHeight="true" outlineLevel="0" collapsed="false">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ustomFormat="false" ht="15.75" hidden="false" customHeight="true" outlineLevel="0" collapsed="false">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ustomFormat="false" ht="15.75" hidden="false" customHeight="true" outlineLevel="0" collapsed="false">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ustomFormat="false" ht="15.75" hidden="false" customHeight="true" outlineLevel="0" collapsed="false">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ustomFormat="false" ht="15.75" hidden="false" customHeight="true" outlineLevel="0" collapsed="false">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ustomFormat="false" ht="15.75" hidden="false" customHeight="true" outlineLevel="0" collapsed="false">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ustomFormat="false" ht="15.75" hidden="false" customHeight="true" outlineLevel="0" collapsed="false">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ustomFormat="false" ht="15.75" hidden="false" customHeight="true" outlineLevel="0" collapsed="false">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ustomFormat="false" ht="15.75" hidden="false" customHeight="true" outlineLevel="0" collapsed="false">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ustomFormat="false" ht="15.75" hidden="false" customHeight="true" outlineLevel="0" collapsed="false">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ustomFormat="false" ht="15.75" hidden="false" customHeight="true" outlineLevel="0" collapsed="false">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ustomFormat="false" ht="15.75" hidden="false" customHeight="true" outlineLevel="0" collapsed="false">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ustomFormat="false" ht="15.75" hidden="false" customHeight="true" outlineLevel="0" collapsed="false">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ustomFormat="false" ht="15.75" hidden="false" customHeight="true" outlineLevel="0" collapsed="false">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ustomFormat="false" ht="15.75" hidden="false" customHeight="true" outlineLevel="0" collapsed="false">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ustomFormat="false" ht="15.75" hidden="false" customHeight="true" outlineLevel="0" collapsed="false">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ustomFormat="false" ht="15.75" hidden="false" customHeight="true" outlineLevel="0" collapsed="false">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ustomFormat="false" ht="15.75" hidden="false" customHeight="true" outlineLevel="0" collapsed="false">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ustomFormat="false" ht="15.75" hidden="false" customHeight="true" outlineLevel="0" collapsed="false">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ustomFormat="false" ht="15.75" hidden="false" customHeight="true" outlineLevel="0" collapsed="false">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ustomFormat="false" ht="15.75" hidden="false" customHeight="true" outlineLevel="0" collapsed="false">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ustomFormat="false" ht="15.75" hidden="false" customHeight="true" outlineLevel="0" collapsed="false">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ustomFormat="false" ht="15.75" hidden="false" customHeight="true" outlineLevel="0" collapsed="false">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ustomFormat="false" ht="15.75" hidden="false" customHeight="true" outlineLevel="0" collapsed="false">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ustomFormat="false" ht="15.75" hidden="false" customHeight="true" outlineLevel="0" collapsed="false">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ustomFormat="false" ht="15.75" hidden="false" customHeight="true" outlineLevel="0" collapsed="false">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ustomFormat="false" ht="15.75" hidden="false" customHeight="true" outlineLevel="0" collapsed="false">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ustomFormat="false" ht="15.75" hidden="false" customHeight="true" outlineLevel="0" collapsed="false">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ustomFormat="false" ht="15.75" hidden="false" customHeight="true" outlineLevel="0" collapsed="false">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ustomFormat="false" ht="15.75" hidden="false" customHeight="true" outlineLevel="0" collapsed="false">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ustomFormat="false" ht="15.75" hidden="false" customHeight="true" outlineLevel="0" collapsed="false">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ustomFormat="false" ht="15.75" hidden="false" customHeight="true" outlineLevel="0" collapsed="false">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ustomFormat="false" ht="15.75" hidden="false" customHeight="true" outlineLevel="0" collapsed="false">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ustomFormat="false" ht="15.75" hidden="false" customHeight="true" outlineLevel="0" collapsed="false">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ustomFormat="false" ht="15.75" hidden="false" customHeight="true" outlineLevel="0" collapsed="false">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ustomFormat="false" ht="15.75" hidden="false" customHeight="true" outlineLevel="0" collapsed="false">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ustomFormat="false" ht="15.75" hidden="false" customHeight="true" outlineLevel="0" collapsed="false">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ustomFormat="false" ht="15.75" hidden="false" customHeight="true" outlineLevel="0" collapsed="false">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ustomFormat="false" ht="15.75" hidden="false" customHeight="true" outlineLevel="0" collapsed="false">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ustomFormat="false" ht="15.75" hidden="false" customHeight="true" outlineLevel="0" collapsed="false">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ustomFormat="false" ht="15.75" hidden="false" customHeight="true" outlineLevel="0" collapsed="false">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ustomFormat="false" ht="15.75" hidden="false" customHeight="true" outlineLevel="0" collapsed="false">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ustomFormat="false" ht="15.75" hidden="false" customHeight="true" outlineLevel="0" collapsed="false">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ustomFormat="false" ht="15.75" hidden="false" customHeight="true" outlineLevel="0" collapsed="false">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ustomFormat="false" ht="15.75" hidden="false" customHeight="true" outlineLevel="0" collapsed="false">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ustomFormat="false" ht="15.75" hidden="false" customHeight="true" outlineLevel="0" collapsed="false">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ustomFormat="false" ht="15.75" hidden="false" customHeight="true" outlineLevel="0" collapsed="false">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ustomFormat="false" ht="15.75" hidden="false" customHeight="true" outlineLevel="0" collapsed="false">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ustomFormat="false" ht="15.75" hidden="false" customHeight="true" outlineLevel="0" collapsed="false">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ustomFormat="false" ht="15.75" hidden="false" customHeight="true" outlineLevel="0" collapsed="false">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ustomFormat="false" ht="15.75" hidden="false" customHeight="true" outlineLevel="0" collapsed="false">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ustomFormat="false" ht="15.75" hidden="false" customHeight="true" outlineLevel="0" collapsed="false">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ustomFormat="false" ht="15.75" hidden="false" customHeight="true" outlineLevel="0" collapsed="false">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ustomFormat="false" ht="15.75" hidden="false" customHeight="true" outlineLevel="0" collapsed="false">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ustomFormat="false" ht="15.75" hidden="false" customHeight="true" outlineLevel="0" collapsed="false">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ustomFormat="false" ht="15.75" hidden="false" customHeight="true" outlineLevel="0" collapsed="false">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ustomFormat="false" ht="15.75" hidden="false" customHeight="true" outlineLevel="0" collapsed="false">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ustomFormat="false" ht="15.75" hidden="false" customHeight="true" outlineLevel="0" collapsed="false">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ustomFormat="false" ht="15.75" hidden="false" customHeight="true" outlineLevel="0" collapsed="false">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ustomFormat="false" ht="15.75" hidden="false" customHeight="true" outlineLevel="0" collapsed="false">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ustomFormat="false" ht="15.75" hidden="false" customHeight="true" outlineLevel="0" collapsed="false">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ustomFormat="false" ht="15.75" hidden="false" customHeight="true" outlineLevel="0" collapsed="false">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ustomFormat="false" ht="15.75" hidden="false" customHeight="true" outlineLevel="0" collapsed="false">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ustomFormat="false" ht="15.75" hidden="false" customHeight="true" outlineLevel="0" collapsed="false">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ustomFormat="false" ht="15.75" hidden="false" customHeight="true" outlineLevel="0" collapsed="false">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ustomFormat="false" ht="15.75" hidden="false" customHeight="true" outlineLevel="0" collapsed="false">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ustomFormat="false" ht="15.75" hidden="false" customHeight="true" outlineLevel="0" collapsed="false">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ustomFormat="false" ht="15.75" hidden="false" customHeight="true" outlineLevel="0" collapsed="false">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ustomFormat="false" ht="15.75" hidden="false" customHeight="true" outlineLevel="0" collapsed="false">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ustomFormat="false" ht="15.75" hidden="false" customHeight="true" outlineLevel="0" collapsed="false">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ustomFormat="false" ht="15.75" hidden="false" customHeight="true" outlineLevel="0" collapsed="false">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ustomFormat="false" ht="15.75" hidden="false" customHeight="true" outlineLevel="0" collapsed="false">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ustomFormat="false" ht="15.75" hidden="false" customHeight="true" outlineLevel="0" collapsed="false">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ustomFormat="false" ht="15.75" hidden="false" customHeight="true" outlineLevel="0" collapsed="false">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ustomFormat="false" ht="15.75" hidden="false" customHeight="true" outlineLevel="0" collapsed="false">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ustomFormat="false" ht="15.75" hidden="false" customHeight="true" outlineLevel="0" collapsed="false">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ustomFormat="false" ht="15.75" hidden="false" customHeight="true" outlineLevel="0" collapsed="false">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ustomFormat="false" ht="15.75" hidden="false" customHeight="true" outlineLevel="0" collapsed="false">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ustomFormat="false" ht="15.75" hidden="false" customHeight="true" outlineLevel="0" collapsed="false">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ustomFormat="false" ht="15.75" hidden="false" customHeight="true" outlineLevel="0" collapsed="false">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ustomFormat="false" ht="15.75" hidden="false" customHeight="true" outlineLevel="0" collapsed="false">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ustomFormat="false" ht="15.75" hidden="false" customHeight="true" outlineLevel="0" collapsed="false">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ustomFormat="false" ht="15.75" hidden="false" customHeight="true" outlineLevel="0" collapsed="false">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ustomFormat="false" ht="15.75" hidden="false" customHeight="true" outlineLevel="0" collapsed="false">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ustomFormat="false" ht="15.75" hidden="false" customHeight="true" outlineLevel="0" collapsed="false">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ustomFormat="false" ht="15.75" hidden="false" customHeight="true" outlineLevel="0" collapsed="false">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ustomFormat="false" ht="15.75" hidden="false" customHeight="true" outlineLevel="0" collapsed="false">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ustomFormat="false" ht="15.75" hidden="false" customHeight="true" outlineLevel="0" collapsed="false">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ustomFormat="false" ht="15.75" hidden="false" customHeight="true" outlineLevel="0" collapsed="false">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ustomFormat="false" ht="15.75" hidden="false" customHeight="true" outlineLevel="0" collapsed="false">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ustomFormat="false" ht="15.75" hidden="false" customHeight="true" outlineLevel="0" collapsed="false">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ustomFormat="false" ht="15.75" hidden="false" customHeight="true" outlineLevel="0" collapsed="false">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ustomFormat="false" ht="15.75" hidden="false" customHeight="true" outlineLevel="0" collapsed="false">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ustomFormat="false" ht="15.75" hidden="false" customHeight="true" outlineLevel="0" collapsed="false">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ustomFormat="false" ht="15.75" hidden="false" customHeight="true" outlineLevel="0" collapsed="false">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ustomFormat="false" ht="15.75" hidden="false" customHeight="true" outlineLevel="0" collapsed="false">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ustomFormat="false" ht="15.75" hidden="false" customHeight="true" outlineLevel="0" collapsed="false">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ustomFormat="false" ht="15.75" hidden="false" customHeight="true" outlineLevel="0" collapsed="false">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ustomFormat="false" ht="15.75" hidden="false" customHeight="true" outlineLevel="0" collapsed="false">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ustomFormat="false" ht="15.75" hidden="false" customHeight="true" outlineLevel="0" collapsed="false">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ustomFormat="false" ht="15.75" hidden="false" customHeight="true" outlineLevel="0" collapsed="false">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ustomFormat="false" ht="15.75" hidden="false" customHeight="true" outlineLevel="0" collapsed="false">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ustomFormat="false" ht="15.75" hidden="false" customHeight="true" outlineLevel="0" collapsed="false">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ustomFormat="false" ht="15.75" hidden="false" customHeight="true" outlineLevel="0" collapsed="false">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ustomFormat="false" ht="15.75" hidden="false" customHeight="true" outlineLevel="0" collapsed="false">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ustomFormat="false" ht="15.75" hidden="false" customHeight="true" outlineLevel="0" collapsed="false">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ustomFormat="false" ht="15.75" hidden="false" customHeight="true" outlineLevel="0" collapsed="false">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ustomFormat="false" ht="15.75" hidden="false" customHeight="true" outlineLevel="0" collapsed="false">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ustomFormat="false" ht="15.75" hidden="false" customHeight="true" outlineLevel="0" collapsed="false">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ustomFormat="false" ht="15.75" hidden="false" customHeight="true" outlineLevel="0" collapsed="false">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ustomFormat="false" ht="15.75" hidden="false" customHeight="true" outlineLevel="0" collapsed="false">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ustomFormat="false" ht="15.75" hidden="false" customHeight="true" outlineLevel="0" collapsed="false">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ustomFormat="false" ht="15.75" hidden="false" customHeight="true" outlineLevel="0" collapsed="false">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ustomFormat="false" ht="15.75" hidden="false" customHeight="true" outlineLevel="0" collapsed="false">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ustomFormat="false" ht="15.75" hidden="false" customHeight="true" outlineLevel="0" collapsed="false">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ustomFormat="false" ht="15.75" hidden="false" customHeight="true" outlineLevel="0" collapsed="false">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ustomFormat="false" ht="15.75" hidden="false" customHeight="true" outlineLevel="0" collapsed="false">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ustomFormat="false" ht="15.75" hidden="false" customHeight="true" outlineLevel="0" collapsed="false">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ustomFormat="false" ht="15.75" hidden="false" customHeight="true" outlineLevel="0" collapsed="false">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ustomFormat="false" ht="15.75" hidden="false" customHeight="true" outlineLevel="0" collapsed="false">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ustomFormat="false" ht="15.75" hidden="false" customHeight="true" outlineLevel="0" collapsed="false">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ustomFormat="false" ht="15.75" hidden="false" customHeight="true" outlineLevel="0" collapsed="false">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ustomFormat="false" ht="15.75" hidden="false" customHeight="true" outlineLevel="0" collapsed="false">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ustomFormat="false" ht="15.75" hidden="false" customHeight="true" outlineLevel="0" collapsed="false">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ustomFormat="false" ht="15.75" hidden="false" customHeight="true" outlineLevel="0" collapsed="false">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ustomFormat="false" ht="15.75" hidden="false" customHeight="true" outlineLevel="0" collapsed="false">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ustomFormat="false" ht="15.75" hidden="false" customHeight="true" outlineLevel="0" collapsed="false">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ustomFormat="false" ht="15.75" hidden="false" customHeight="true" outlineLevel="0" collapsed="false">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ustomFormat="false" ht="15.75" hidden="false" customHeight="true" outlineLevel="0" collapsed="false">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ustomFormat="false" ht="15.75" hidden="false" customHeight="true" outlineLevel="0" collapsed="false">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ustomFormat="false" ht="15.75" hidden="false" customHeight="true" outlineLevel="0" collapsed="false">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ustomFormat="false" ht="15.75" hidden="false" customHeight="true" outlineLevel="0" collapsed="false">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ustomFormat="false" ht="15.75" hidden="false" customHeight="true" outlineLevel="0" collapsed="false">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ustomFormat="false" ht="15.75" hidden="false" customHeight="true" outlineLevel="0" collapsed="false">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ustomFormat="false" ht="15.75" hidden="false" customHeight="true" outlineLevel="0" collapsed="false">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ustomFormat="false" ht="15.75" hidden="false" customHeight="true" outlineLevel="0" collapsed="false">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headings="false" gridLines="false" gridLinesSet="true" horizontalCentered="false" verticalCentered="false"/>
  <pageMargins left="0.236111111111111" right="0.236111111111111" top="0.747916666666667" bottom="0.747916666666667" header="0.511811023622047" footer="0.511811023622047"/>
  <pageSetup paperSize="1" scale="7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26"/>
    <col collapsed="false" customWidth="true" hidden="false" outlineLevel="0" max="2" min="2" style="1" width="30"/>
    <col collapsed="false" customWidth="true" hidden="false" outlineLevel="0" max="3" min="3" style="1" width="13"/>
    <col collapsed="false" customWidth="true" hidden="false" outlineLevel="0" max="4" min="4" style="1" width="15"/>
    <col collapsed="false" customWidth="true" hidden="false" outlineLevel="0" max="5" min="5" style="1" width="45"/>
    <col collapsed="false" customWidth="true" hidden="false" outlineLevel="0" max="6" min="6" style="1" width="70"/>
  </cols>
  <sheetData>
    <row r="1" customFormat="false" ht="17.25" hidden="false" customHeight="true" outlineLevel="0" collapsed="false">
      <c r="A1" s="18" t="s">
        <v>103</v>
      </c>
    </row>
    <row r="3" customFormat="false" ht="15" hidden="false" customHeight="true" outlineLevel="0" collapsed="false">
      <c r="A3" s="19" t="s">
        <v>104</v>
      </c>
      <c r="D3" s="20" t="n">
        <v>20</v>
      </c>
      <c r="E3" s="1" t="s">
        <v>105</v>
      </c>
    </row>
    <row r="4" customFormat="false" ht="15" hidden="false" customHeight="true" outlineLevel="0" collapsed="false">
      <c r="A4" s="19" t="s">
        <v>106</v>
      </c>
      <c r="D4" s="20" t="n">
        <v>1</v>
      </c>
      <c r="E4" s="1" t="s">
        <v>107</v>
      </c>
    </row>
    <row r="6" customFormat="false" ht="27.75" hidden="false" customHeight="true" outlineLevel="0" collapsed="false">
      <c r="A6" s="21" t="s">
        <v>108</v>
      </c>
      <c r="B6" s="21" t="s">
        <v>109</v>
      </c>
      <c r="C6" s="21" t="s">
        <v>110</v>
      </c>
      <c r="D6" s="21" t="s">
        <v>111</v>
      </c>
      <c r="E6" s="21" t="s">
        <v>112</v>
      </c>
      <c r="F6" s="21" t="s">
        <v>113</v>
      </c>
    </row>
    <row r="7" customFormat="false" ht="79.5" hidden="false" customHeight="true" outlineLevel="0" collapsed="false">
      <c r="A7" s="22" t="s">
        <v>15</v>
      </c>
      <c r="B7" s="22" t="s">
        <v>114</v>
      </c>
      <c r="C7" s="22" t="n">
        <f aca="false">SUMIFS('Historias de Usuario'!$G$5:$G$24,'Historias de Usuario'!$I$5:$I$24,A7)</f>
        <v>20</v>
      </c>
      <c r="D7" s="22" t="str">
        <f aca="false">IF(C7&gt;1.1*$D$3,"Sobrecarga",IF(C7&gt;=0.8*$D$3,"OK","Holgura"))</f>
        <v>OK</v>
      </c>
      <c r="E7" s="22" t="s">
        <v>115</v>
      </c>
      <c r="F7" s="22" t="s">
        <v>116</v>
      </c>
    </row>
    <row r="8" customFormat="false" ht="79.5" hidden="false" customHeight="true" outlineLevel="0" collapsed="false">
      <c r="A8" s="22" t="s">
        <v>33</v>
      </c>
      <c r="B8" s="22" t="s">
        <v>117</v>
      </c>
      <c r="C8" s="22" t="n">
        <f aca="false">SUMIFS('Historias de Usuario'!$G$5:$G$24,'Historias de Usuario'!$I$5:$I$24,A8)</f>
        <v>21</v>
      </c>
      <c r="D8" s="22" t="str">
        <f aca="false">IF(C8&gt;1.1*$D$3,"Sobrecarga",IF(C8&gt;=0.8*$D$3,"OK","Holgura"))</f>
        <v>OK</v>
      </c>
      <c r="E8" s="22" t="s">
        <v>118</v>
      </c>
      <c r="F8" s="22" t="s">
        <v>119</v>
      </c>
    </row>
    <row r="9" customFormat="false" ht="79.5" hidden="false" customHeight="true" outlineLevel="0" collapsed="false">
      <c r="A9" s="22" t="s">
        <v>56</v>
      </c>
      <c r="B9" s="22" t="s">
        <v>120</v>
      </c>
      <c r="C9" s="22" t="n">
        <f aca="false">SUMIFS('Historias de Usuario'!$G$5:$G$24,'Historias de Usuario'!$I$5:$I$24,A9)</f>
        <v>21</v>
      </c>
      <c r="D9" s="22" t="str">
        <f aca="false">IF(C9&gt;1.1*$D$3,"Sobrecarga",IF(C9&gt;=0.8*$D$3,"OK","Holgura"))</f>
        <v>OK</v>
      </c>
      <c r="E9" s="22" t="s">
        <v>121</v>
      </c>
      <c r="F9" s="22" t="s">
        <v>122</v>
      </c>
    </row>
    <row r="10" customFormat="false" ht="79.5" hidden="false" customHeight="true" outlineLevel="0" collapsed="false">
      <c r="A10" s="22" t="s">
        <v>73</v>
      </c>
      <c r="B10" s="22" t="s">
        <v>123</v>
      </c>
      <c r="C10" s="22" t="n">
        <f aca="false">SUMIFS('Historias de Usuario'!$G$5:$G$24,'Historias de Usuario'!$I$5:$I$24,A10)</f>
        <v>18</v>
      </c>
      <c r="D10" s="22" t="str">
        <f aca="false">IF(C10&gt;1.1*$D$3,"Sobrecarga",IF(C10&gt;=0.8*$D$3,"OK","Holgura"))</f>
        <v>OK</v>
      </c>
      <c r="E10" s="22" t="s">
        <v>124</v>
      </c>
      <c r="F10" s="22" t="s">
        <v>125</v>
      </c>
    </row>
    <row r="11" customFormat="false" ht="79.5" hidden="false" customHeight="true" outlineLevel="0" collapsed="false">
      <c r="A11" s="22" t="s">
        <v>87</v>
      </c>
      <c r="B11" s="22" t="s">
        <v>126</v>
      </c>
      <c r="C11" s="22" t="n">
        <f aca="false">SUMIFS('Historias de Usuario'!$G$5:$G$24,'Historias de Usuario'!$I$5:$I$24,A11)</f>
        <v>24</v>
      </c>
      <c r="D11" s="22"/>
      <c r="E11" s="22" t="s">
        <v>127</v>
      </c>
      <c r="F11" s="22" t="s">
        <v>128</v>
      </c>
    </row>
    <row r="12" customFormat="false" ht="15" hidden="false" customHeight="true" outlineLevel="0" collapsed="false">
      <c r="A12" s="23" t="s">
        <v>129</v>
      </c>
      <c r="B12" s="23"/>
      <c r="C12" s="23" t="n">
        <f aca="false">SUM(C7:C10)</f>
        <v>80</v>
      </c>
      <c r="D12" s="23" t="str">
        <f aca="false">IF(C12&gt;4*$D$3,"No cabe en 4 sprints","Cabe en 4 sprints")</f>
        <v>Cabe en 4 sprints</v>
      </c>
      <c r="E12" s="22"/>
      <c r="F12" s="22"/>
    </row>
    <row r="13" customFormat="false" ht="23.25" hidden="false" customHeight="true" outlineLevel="0" collapsed="false">
      <c r="A13" s="23" t="s">
        <v>130</v>
      </c>
      <c r="B13" s="23"/>
      <c r="C13" s="23" t="n">
        <f aca="false">SUM('Historias de Usuario'!$G$5:$G$24)</f>
        <v>104</v>
      </c>
      <c r="D13" s="23" t="str">
        <f aca="false">IF(C13&gt;4*$D$3,"No cabe en 4 sprints","Cabe en 4 sprints")</f>
        <v>No cabe en 4 sprints</v>
      </c>
      <c r="E13" s="22"/>
      <c r="F13" s="22"/>
    </row>
    <row r="16" customFormat="false" ht="15" hidden="false" customHeight="true" outlineLevel="0" collapsed="false">
      <c r="A16" s="19" t="s">
        <v>131</v>
      </c>
      <c r="D16" s="20" t="n">
        <v>30</v>
      </c>
      <c r="E16" s="1" t="s">
        <v>132</v>
      </c>
    </row>
    <row r="18" customFormat="false" ht="15" hidden="false" customHeight="true" outlineLevel="0" collapsed="false">
      <c r="A18" s="24" t="s">
        <v>108</v>
      </c>
      <c r="B18" s="24" t="s">
        <v>133</v>
      </c>
      <c r="C18" s="24" t="s">
        <v>134</v>
      </c>
      <c r="D18" s="24" t="s">
        <v>135</v>
      </c>
      <c r="E18" s="24" t="s">
        <v>136</v>
      </c>
    </row>
    <row r="19" customFormat="false" ht="15" hidden="false" customHeight="true" outlineLevel="0" collapsed="false">
      <c r="A19" s="22" t="s">
        <v>15</v>
      </c>
      <c r="B19" s="22" t="n">
        <f aca="false">SUMIFS('Tareas (Sprint Backlog)'!$H$5:$H$73,'Tareas (Sprint Backlog)'!$B$5:$B$73,A19,'Tareas (Sprint Backlog)'!$F$5:$F$73,"Lujan")</f>
        <v>56</v>
      </c>
      <c r="C19" s="22" t="n">
        <f aca="false">SUMIFS('Tareas (Sprint Backlog)'!$H$5:$H$73,'Tareas (Sprint Backlog)'!$B$5:$B$73,A19,'Tareas (Sprint Backlog)'!$F$5:$F$73,"Galvan")</f>
        <v>22</v>
      </c>
      <c r="D19" s="22" t="str">
        <f aca="false">IF(B19&gt;$D$16,"Sobrecarga: "&amp;TEXT(B19-$D$16,"0")&amp;" h","OK")</f>
        <v>Sobrecarga: 26 h</v>
      </c>
      <c r="E19" s="22" t="str">
        <f aca="false">IF(C19&gt;$D$16,"Sobrecarga: "&amp;TEXT(C19-$D$16,"0")&amp;" h","OK")</f>
        <v>OK</v>
      </c>
    </row>
    <row r="20" customFormat="false" ht="15" hidden="false" customHeight="true" outlineLevel="0" collapsed="false">
      <c r="A20" s="22" t="s">
        <v>33</v>
      </c>
      <c r="B20" s="22" t="n">
        <f aca="false">SUMIFS('Tareas (Sprint Backlog)'!$H$5:$H$73,'Tareas (Sprint Backlog)'!$B$5:$B$73,A20,'Tareas (Sprint Backlog)'!$F$5:$F$73,"Lujan")</f>
        <v>17</v>
      </c>
      <c r="C20" s="22" t="n">
        <f aca="false">SUMIFS('Tareas (Sprint Backlog)'!$H$5:$H$73,'Tareas (Sprint Backlog)'!$B$5:$B$73,A20,'Tareas (Sprint Backlog)'!$F$5:$F$73,"Galvan")</f>
        <v>21</v>
      </c>
      <c r="D20" s="22" t="str">
        <f aca="false">IF(B20&gt;$D$16,"Sobrecarga: "&amp;TEXT(B20-$D$16,"0")&amp;" h","OK")</f>
        <v>OK</v>
      </c>
      <c r="E20" s="22" t="str">
        <f aca="false">IF(C20&gt;$D$16,"Sobrecarga: "&amp;TEXT(C20-$D$16,"0")&amp;" h","OK")</f>
        <v>OK</v>
      </c>
    </row>
    <row r="21" customFormat="false" ht="15" hidden="false" customHeight="true" outlineLevel="0" collapsed="false">
      <c r="A21" s="22" t="s">
        <v>56</v>
      </c>
      <c r="B21" s="22" t="n">
        <f aca="false">SUMIFS('Tareas (Sprint Backlog)'!$H$5:$H$73,'Tareas (Sprint Backlog)'!$B$5:$B$73,A21,'Tareas (Sprint Backlog)'!$F$5:$F$73,"Lujan")</f>
        <v>18</v>
      </c>
      <c r="C21" s="22" t="n">
        <f aca="false">SUMIFS('Tareas (Sprint Backlog)'!$H$5:$H$73,'Tareas (Sprint Backlog)'!$B$5:$B$73,A21,'Tareas (Sprint Backlog)'!$F$5:$F$73,"Galvan")</f>
        <v>20</v>
      </c>
      <c r="D21" s="22" t="str">
        <f aca="false">IF(B21&gt;$D$16,"Sobrecarga: "&amp;TEXT(B21-$D$16,"0")&amp;" h","OK")</f>
        <v>OK</v>
      </c>
      <c r="E21" s="22" t="str">
        <f aca="false">IF(C21&gt;$D$16,"Sobrecarga: "&amp;TEXT(C21-$D$16,"0")&amp;" h","OK")</f>
        <v>OK</v>
      </c>
    </row>
    <row r="22" customFormat="false" ht="15" hidden="false" customHeight="true" outlineLevel="0" collapsed="false">
      <c r="A22" s="22" t="s">
        <v>73</v>
      </c>
      <c r="B22" s="22" t="n">
        <f aca="false">SUMIFS('Tareas (Sprint Backlog)'!$H$5:$H$73,'Tareas (Sprint Backlog)'!$B$5:$B$73,A22,'Tareas (Sprint Backlog)'!$F$5:$F$73,"Lujan")</f>
        <v>17</v>
      </c>
      <c r="C22" s="22" t="n">
        <f aca="false">SUMIFS('Tareas (Sprint Backlog)'!$H$5:$H$73,'Tareas (Sprint Backlog)'!$B$5:$B$73,A22,'Tareas (Sprint Backlog)'!$F$5:$F$73,"Galvan")</f>
        <v>15</v>
      </c>
      <c r="D22" s="22" t="str">
        <f aca="false">IF(B22&gt;$D$16,"Sobrecarga: "&amp;TEXT(B22-$D$16,"0")&amp;" h","OK")</f>
        <v>OK</v>
      </c>
      <c r="E22" s="22" t="str">
        <f aca="false">IF(C22&gt;$D$16,"Sobrecarga: "&amp;TEXT(C22-$D$16,"0")&amp;" h","OK")</f>
        <v>OK</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7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8"/>
    <col collapsed="false" customWidth="true" hidden="false" outlineLevel="0" max="3" min="2" style="1" width="10"/>
    <col collapsed="false" customWidth="true" hidden="false" outlineLevel="0" max="4" min="4" style="1" width="70"/>
    <col collapsed="false" customWidth="true" hidden="false" outlineLevel="0" max="5" min="5" style="1" width="16"/>
    <col collapsed="false" customWidth="true" hidden="false" outlineLevel="0" max="6" min="6" style="1" width="12"/>
    <col collapsed="false" customWidth="true" hidden="false" outlineLevel="0" max="7" min="7" style="1" width="10"/>
    <col collapsed="false" customWidth="true" hidden="false" outlineLevel="0" max="8" min="8" style="1" width="9"/>
    <col collapsed="false" customWidth="true" hidden="false" outlineLevel="0" max="9" min="9" style="1" width="12"/>
    <col collapsed="false" customWidth="true" hidden="false" outlineLevel="0" max="10" min="10" style="1" width="20"/>
  </cols>
  <sheetData>
    <row r="1" customFormat="false" ht="17.25" hidden="false" customHeight="true" outlineLevel="0" collapsed="false">
      <c r="A1" s="18" t="s">
        <v>137</v>
      </c>
    </row>
    <row r="2" customFormat="false" ht="42" hidden="false" customHeight="true" outlineLevel="0" collapsed="false">
      <c r="A2" s="25" t="s">
        <v>138</v>
      </c>
      <c r="B2" s="25"/>
      <c r="C2" s="25"/>
      <c r="D2" s="25"/>
      <c r="E2" s="25"/>
      <c r="F2" s="25"/>
      <c r="G2" s="25"/>
      <c r="H2" s="25"/>
      <c r="I2" s="25"/>
      <c r="J2" s="25"/>
    </row>
    <row r="4" customFormat="false" ht="27.75" hidden="false" customHeight="true" outlineLevel="0" collapsed="false">
      <c r="A4" s="21" t="s">
        <v>139</v>
      </c>
      <c r="B4" s="21" t="s">
        <v>108</v>
      </c>
      <c r="C4" s="21" t="s">
        <v>140</v>
      </c>
      <c r="D4" s="21" t="s">
        <v>141</v>
      </c>
      <c r="E4" s="21" t="s">
        <v>142</v>
      </c>
      <c r="F4" s="21" t="s">
        <v>143</v>
      </c>
      <c r="G4" s="21" t="s">
        <v>144</v>
      </c>
      <c r="H4" s="21" t="s">
        <v>145</v>
      </c>
      <c r="I4" s="21" t="s">
        <v>4</v>
      </c>
      <c r="J4" s="21" t="s">
        <v>146</v>
      </c>
    </row>
    <row r="5" customFormat="false" ht="31.5" hidden="false" customHeight="true" outlineLevel="0" collapsed="false">
      <c r="A5" s="22" t="s">
        <v>147</v>
      </c>
      <c r="B5" s="22" t="s">
        <v>15</v>
      </c>
      <c r="C5" s="22" t="s">
        <v>148</v>
      </c>
      <c r="D5" s="22" t="s">
        <v>149</v>
      </c>
      <c r="E5" s="22" t="s">
        <v>150</v>
      </c>
      <c r="F5" s="22" t="s">
        <v>151</v>
      </c>
      <c r="G5" s="22" t="s">
        <v>152</v>
      </c>
      <c r="H5" s="22" t="n">
        <v>3</v>
      </c>
      <c r="I5" s="22" t="s">
        <v>153</v>
      </c>
      <c r="J5" s="22" t="s">
        <v>154</v>
      </c>
    </row>
    <row r="6" customFormat="false" ht="31.5" hidden="false" customHeight="true" outlineLevel="0" collapsed="false">
      <c r="A6" s="22" t="s">
        <v>155</v>
      </c>
      <c r="B6" s="22" t="s">
        <v>15</v>
      </c>
      <c r="C6" s="22" t="s">
        <v>148</v>
      </c>
      <c r="D6" s="22" t="s">
        <v>156</v>
      </c>
      <c r="E6" s="22" t="s">
        <v>157</v>
      </c>
      <c r="F6" s="22" t="s">
        <v>152</v>
      </c>
      <c r="G6" s="22" t="s">
        <v>151</v>
      </c>
      <c r="H6" s="22" t="n">
        <v>3</v>
      </c>
      <c r="I6" s="22" t="s">
        <v>158</v>
      </c>
      <c r="J6" s="22" t="s">
        <v>159</v>
      </c>
    </row>
    <row r="7" customFormat="false" ht="31.5" hidden="false" customHeight="true" outlineLevel="0" collapsed="false">
      <c r="A7" s="22" t="s">
        <v>160</v>
      </c>
      <c r="B7" s="22" t="s">
        <v>15</v>
      </c>
      <c r="C7" s="22" t="s">
        <v>148</v>
      </c>
      <c r="D7" s="22" t="s">
        <v>161</v>
      </c>
      <c r="E7" s="22" t="s">
        <v>150</v>
      </c>
      <c r="F7" s="22" t="s">
        <v>151</v>
      </c>
      <c r="G7" s="22" t="s">
        <v>152</v>
      </c>
      <c r="H7" s="22" t="n">
        <v>2</v>
      </c>
      <c r="I7" s="22" t="s">
        <v>153</v>
      </c>
      <c r="J7" s="22" t="s">
        <v>154</v>
      </c>
    </row>
    <row r="8" customFormat="false" ht="31.5" hidden="false" customHeight="true" outlineLevel="0" collapsed="false">
      <c r="A8" s="22" t="s">
        <v>162</v>
      </c>
      <c r="B8" s="22" t="s">
        <v>15</v>
      </c>
      <c r="C8" s="22" t="s">
        <v>148</v>
      </c>
      <c r="D8" s="22" t="s">
        <v>163</v>
      </c>
      <c r="E8" s="22" t="s">
        <v>164</v>
      </c>
      <c r="F8" s="22" t="s">
        <v>152</v>
      </c>
      <c r="G8" s="22" t="s">
        <v>151</v>
      </c>
      <c r="H8" s="22" t="n">
        <v>2</v>
      </c>
      <c r="I8" s="22" t="s">
        <v>14</v>
      </c>
      <c r="J8" s="22" t="s">
        <v>165</v>
      </c>
    </row>
    <row r="9" customFormat="false" ht="31.5" hidden="false" customHeight="true" outlineLevel="0" collapsed="false">
      <c r="A9" s="22" t="s">
        <v>166</v>
      </c>
      <c r="B9" s="22" t="s">
        <v>15</v>
      </c>
      <c r="C9" s="22" t="s">
        <v>167</v>
      </c>
      <c r="D9" s="22" t="s">
        <v>168</v>
      </c>
      <c r="E9" s="22" t="s">
        <v>167</v>
      </c>
      <c r="F9" s="22" t="s">
        <v>151</v>
      </c>
      <c r="G9" s="22" t="s">
        <v>152</v>
      </c>
      <c r="H9" s="22" t="n">
        <v>3</v>
      </c>
      <c r="I9" s="22" t="s">
        <v>158</v>
      </c>
      <c r="J9" s="22"/>
    </row>
    <row r="10" customFormat="false" ht="31.5" hidden="false" customHeight="true" outlineLevel="0" collapsed="false">
      <c r="A10" s="22" t="s">
        <v>169</v>
      </c>
      <c r="B10" s="22" t="s">
        <v>15</v>
      </c>
      <c r="C10" s="22" t="s">
        <v>167</v>
      </c>
      <c r="D10" s="22" t="s">
        <v>170</v>
      </c>
      <c r="E10" s="22" t="s">
        <v>167</v>
      </c>
      <c r="F10" s="22" t="s">
        <v>151</v>
      </c>
      <c r="G10" s="22" t="s">
        <v>152</v>
      </c>
      <c r="H10" s="22" t="n">
        <v>2</v>
      </c>
      <c r="I10" s="22" t="s">
        <v>158</v>
      </c>
      <c r="J10" s="22" t="s">
        <v>171</v>
      </c>
    </row>
    <row r="11" customFormat="false" ht="31.5" hidden="false" customHeight="true" outlineLevel="0" collapsed="false">
      <c r="A11" s="22" t="s">
        <v>172</v>
      </c>
      <c r="B11" s="22" t="s">
        <v>15</v>
      </c>
      <c r="C11" s="22" t="s">
        <v>167</v>
      </c>
      <c r="D11" s="22" t="s">
        <v>173</v>
      </c>
      <c r="E11" s="22" t="s">
        <v>167</v>
      </c>
      <c r="F11" s="22" t="s">
        <v>151</v>
      </c>
      <c r="G11" s="22" t="s">
        <v>152</v>
      </c>
      <c r="H11" s="22" t="n">
        <v>4</v>
      </c>
      <c r="I11" s="22" t="s">
        <v>158</v>
      </c>
      <c r="J11" s="22" t="s">
        <v>174</v>
      </c>
    </row>
    <row r="12" customFormat="false" ht="31.5" hidden="false" customHeight="true" outlineLevel="0" collapsed="false">
      <c r="A12" s="22" t="s">
        <v>175</v>
      </c>
      <c r="B12" s="22" t="s">
        <v>15</v>
      </c>
      <c r="C12" s="22" t="s">
        <v>167</v>
      </c>
      <c r="D12" s="22" t="s">
        <v>176</v>
      </c>
      <c r="E12" s="22" t="s">
        <v>167</v>
      </c>
      <c r="F12" s="22" t="s">
        <v>151</v>
      </c>
      <c r="G12" s="22" t="s">
        <v>152</v>
      </c>
      <c r="H12" s="22" t="n">
        <v>1</v>
      </c>
      <c r="I12" s="22" t="s">
        <v>153</v>
      </c>
      <c r="J12" s="22" t="s">
        <v>177</v>
      </c>
    </row>
    <row r="13" customFormat="false" ht="31.5" hidden="false" customHeight="true" outlineLevel="0" collapsed="false">
      <c r="A13" s="22" t="s">
        <v>178</v>
      </c>
      <c r="B13" s="22" t="s">
        <v>15</v>
      </c>
      <c r="C13" s="22" t="s">
        <v>11</v>
      </c>
      <c r="D13" s="22" t="s">
        <v>179</v>
      </c>
      <c r="E13" s="22" t="s">
        <v>180</v>
      </c>
      <c r="F13" s="22" t="s">
        <v>152</v>
      </c>
      <c r="G13" s="22" t="s">
        <v>151</v>
      </c>
      <c r="H13" s="22" t="n">
        <v>2</v>
      </c>
      <c r="I13" s="22" t="s">
        <v>158</v>
      </c>
      <c r="J13" s="22" t="s">
        <v>181</v>
      </c>
    </row>
    <row r="14" customFormat="false" ht="31.5" hidden="false" customHeight="true" outlineLevel="0" collapsed="false">
      <c r="A14" s="22" t="s">
        <v>182</v>
      </c>
      <c r="B14" s="22" t="s">
        <v>15</v>
      </c>
      <c r="C14" s="22" t="s">
        <v>11</v>
      </c>
      <c r="D14" s="22" t="s">
        <v>183</v>
      </c>
      <c r="E14" s="22" t="s">
        <v>180</v>
      </c>
      <c r="F14" s="22" t="s">
        <v>152</v>
      </c>
      <c r="G14" s="22" t="s">
        <v>151</v>
      </c>
      <c r="H14" s="22" t="n">
        <v>4</v>
      </c>
      <c r="I14" s="22" t="s">
        <v>158</v>
      </c>
      <c r="J14" s="22" t="s">
        <v>184</v>
      </c>
    </row>
    <row r="15" customFormat="false" ht="31.5" hidden="false" customHeight="true" outlineLevel="0" collapsed="false">
      <c r="A15" s="22" t="s">
        <v>185</v>
      </c>
      <c r="B15" s="22" t="s">
        <v>15</v>
      </c>
      <c r="C15" s="22" t="s">
        <v>11</v>
      </c>
      <c r="D15" s="22" t="s">
        <v>186</v>
      </c>
      <c r="E15" s="22" t="s">
        <v>180</v>
      </c>
      <c r="F15" s="22" t="s">
        <v>152</v>
      </c>
      <c r="G15" s="22" t="s">
        <v>151</v>
      </c>
      <c r="H15" s="22" t="n">
        <v>3</v>
      </c>
      <c r="I15" s="22" t="s">
        <v>158</v>
      </c>
      <c r="J15" s="22" t="s">
        <v>187</v>
      </c>
    </row>
    <row r="16" customFormat="false" ht="31.5" hidden="false" customHeight="true" outlineLevel="0" collapsed="false">
      <c r="A16" s="22" t="s">
        <v>188</v>
      </c>
      <c r="B16" s="22" t="s">
        <v>15</v>
      </c>
      <c r="C16" s="22" t="s">
        <v>11</v>
      </c>
      <c r="D16" s="22" t="s">
        <v>189</v>
      </c>
      <c r="E16" s="22" t="s">
        <v>190</v>
      </c>
      <c r="F16" s="22" t="s">
        <v>152</v>
      </c>
      <c r="G16" s="22" t="s">
        <v>151</v>
      </c>
      <c r="H16" s="22" t="n">
        <v>3</v>
      </c>
      <c r="I16" s="22" t="s">
        <v>158</v>
      </c>
      <c r="J16" s="22" t="s">
        <v>191</v>
      </c>
    </row>
    <row r="17" customFormat="false" ht="31.5" hidden="false" customHeight="true" outlineLevel="0" collapsed="false">
      <c r="A17" s="22" t="s">
        <v>192</v>
      </c>
      <c r="B17" s="22" t="s">
        <v>15</v>
      </c>
      <c r="C17" s="22" t="s">
        <v>11</v>
      </c>
      <c r="D17" s="22" t="s">
        <v>193</v>
      </c>
      <c r="E17" s="22" t="s">
        <v>194</v>
      </c>
      <c r="F17" s="22" t="s">
        <v>152</v>
      </c>
      <c r="G17" s="22" t="s">
        <v>151</v>
      </c>
      <c r="H17" s="22" t="n">
        <v>2</v>
      </c>
      <c r="I17" s="22" t="s">
        <v>158</v>
      </c>
      <c r="J17" s="22" t="s">
        <v>195</v>
      </c>
    </row>
    <row r="18" customFormat="false" ht="31.5" hidden="false" customHeight="true" outlineLevel="0" collapsed="false">
      <c r="A18" s="22" t="s">
        <v>196</v>
      </c>
      <c r="B18" s="22" t="s">
        <v>15</v>
      </c>
      <c r="C18" s="22" t="s">
        <v>18</v>
      </c>
      <c r="D18" s="22" t="s">
        <v>197</v>
      </c>
      <c r="E18" s="22" t="s">
        <v>180</v>
      </c>
      <c r="F18" s="22" t="s">
        <v>152</v>
      </c>
      <c r="G18" s="22" t="s">
        <v>151</v>
      </c>
      <c r="H18" s="22" t="n">
        <v>4</v>
      </c>
      <c r="I18" s="22" t="s">
        <v>158</v>
      </c>
      <c r="J18" s="22" t="s">
        <v>198</v>
      </c>
    </row>
    <row r="19" customFormat="false" ht="31.5" hidden="false" customHeight="true" outlineLevel="0" collapsed="false">
      <c r="A19" s="26" t="s">
        <v>199</v>
      </c>
      <c r="B19" s="26" t="s">
        <v>15</v>
      </c>
      <c r="C19" s="26" t="s">
        <v>18</v>
      </c>
      <c r="D19" s="26" t="s">
        <v>200</v>
      </c>
      <c r="E19" s="26" t="s">
        <v>201</v>
      </c>
      <c r="F19" s="26" t="s">
        <v>152</v>
      </c>
      <c r="G19" s="26" t="s">
        <v>151</v>
      </c>
      <c r="H19" s="26" t="n">
        <v>3</v>
      </c>
      <c r="I19" s="26" t="s">
        <v>158</v>
      </c>
      <c r="J19" s="26" t="s">
        <v>202</v>
      </c>
    </row>
    <row r="20" customFormat="false" ht="31.5" hidden="false" customHeight="true" outlineLevel="0" collapsed="false">
      <c r="A20" s="22" t="s">
        <v>203</v>
      </c>
      <c r="B20" s="22" t="s">
        <v>15</v>
      </c>
      <c r="C20" s="22" t="s">
        <v>18</v>
      </c>
      <c r="D20" s="22" t="s">
        <v>204</v>
      </c>
      <c r="E20" s="22" t="s">
        <v>180</v>
      </c>
      <c r="F20" s="22" t="s">
        <v>152</v>
      </c>
      <c r="G20" s="22" t="s">
        <v>151</v>
      </c>
      <c r="H20" s="22" t="n">
        <v>4</v>
      </c>
      <c r="I20" s="22" t="s">
        <v>158</v>
      </c>
      <c r="J20" s="22" t="s">
        <v>205</v>
      </c>
    </row>
    <row r="21" customFormat="false" ht="31.5" hidden="false" customHeight="true" outlineLevel="0" collapsed="false">
      <c r="A21" s="22" t="s">
        <v>206</v>
      </c>
      <c r="B21" s="22" t="s">
        <v>15</v>
      </c>
      <c r="C21" s="22" t="s">
        <v>18</v>
      </c>
      <c r="D21" s="22" t="s">
        <v>207</v>
      </c>
      <c r="E21" s="22" t="s">
        <v>190</v>
      </c>
      <c r="F21" s="22" t="s">
        <v>152</v>
      </c>
      <c r="G21" s="22" t="s">
        <v>151</v>
      </c>
      <c r="H21" s="22" t="n">
        <v>4</v>
      </c>
      <c r="I21" s="22" t="s">
        <v>158</v>
      </c>
      <c r="J21" s="22" t="s">
        <v>18</v>
      </c>
    </row>
    <row r="22" customFormat="false" ht="31.5" hidden="false" customHeight="true" outlineLevel="0" collapsed="false">
      <c r="A22" s="26" t="s">
        <v>208</v>
      </c>
      <c r="B22" s="26" t="s">
        <v>15</v>
      </c>
      <c r="C22" s="26" t="s">
        <v>22</v>
      </c>
      <c r="D22" s="26" t="s">
        <v>209</v>
      </c>
      <c r="E22" s="26" t="s">
        <v>201</v>
      </c>
      <c r="F22" s="26" t="s">
        <v>152</v>
      </c>
      <c r="G22" s="26" t="s">
        <v>151</v>
      </c>
      <c r="H22" s="26" t="n">
        <v>4</v>
      </c>
      <c r="I22" s="26" t="s">
        <v>158</v>
      </c>
      <c r="J22" s="26" t="s">
        <v>210</v>
      </c>
    </row>
    <row r="23" customFormat="false" ht="31.5" hidden="false" customHeight="true" outlineLevel="0" collapsed="false">
      <c r="A23" s="26" t="s">
        <v>211</v>
      </c>
      <c r="B23" s="26" t="s">
        <v>15</v>
      </c>
      <c r="C23" s="26" t="s">
        <v>22</v>
      </c>
      <c r="D23" s="26" t="s">
        <v>212</v>
      </c>
      <c r="E23" s="26" t="s">
        <v>201</v>
      </c>
      <c r="F23" s="26" t="s">
        <v>152</v>
      </c>
      <c r="G23" s="26" t="s">
        <v>151</v>
      </c>
      <c r="H23" s="26" t="n">
        <v>3</v>
      </c>
      <c r="I23" s="26" t="s">
        <v>158</v>
      </c>
      <c r="J23" s="26" t="s">
        <v>213</v>
      </c>
    </row>
    <row r="24" customFormat="false" ht="31.5" hidden="false" customHeight="true" outlineLevel="0" collapsed="false">
      <c r="A24" s="22" t="s">
        <v>214</v>
      </c>
      <c r="B24" s="22" t="s">
        <v>15</v>
      </c>
      <c r="C24" s="22" t="s">
        <v>22</v>
      </c>
      <c r="D24" s="22" t="s">
        <v>215</v>
      </c>
      <c r="E24" s="22" t="s">
        <v>190</v>
      </c>
      <c r="F24" s="22" t="s">
        <v>152</v>
      </c>
      <c r="G24" s="22" t="s">
        <v>151</v>
      </c>
      <c r="H24" s="22" t="n">
        <v>4</v>
      </c>
      <c r="I24" s="22" t="s">
        <v>158</v>
      </c>
      <c r="J24" s="22" t="s">
        <v>213</v>
      </c>
    </row>
    <row r="25" customFormat="false" ht="31.5" hidden="false" customHeight="true" outlineLevel="0" collapsed="false">
      <c r="A25" s="22" t="s">
        <v>216</v>
      </c>
      <c r="B25" s="22" t="s">
        <v>15</v>
      </c>
      <c r="C25" s="22" t="s">
        <v>22</v>
      </c>
      <c r="D25" s="22" t="s">
        <v>217</v>
      </c>
      <c r="E25" s="22" t="s">
        <v>194</v>
      </c>
      <c r="F25" s="22" t="s">
        <v>152</v>
      </c>
      <c r="G25" s="22" t="s">
        <v>151</v>
      </c>
      <c r="H25" s="22" t="n">
        <v>2</v>
      </c>
      <c r="I25" s="22" t="s">
        <v>158</v>
      </c>
      <c r="J25" s="22" t="s">
        <v>195</v>
      </c>
    </row>
    <row r="26" customFormat="false" ht="31.5" hidden="false" customHeight="true" outlineLevel="0" collapsed="false">
      <c r="A26" s="26" t="s">
        <v>218</v>
      </c>
      <c r="B26" s="26" t="s">
        <v>15</v>
      </c>
      <c r="C26" s="26" t="s">
        <v>26</v>
      </c>
      <c r="D26" s="26" t="s">
        <v>219</v>
      </c>
      <c r="E26" s="26" t="s">
        <v>201</v>
      </c>
      <c r="F26" s="26" t="s">
        <v>152</v>
      </c>
      <c r="G26" s="26" t="s">
        <v>151</v>
      </c>
      <c r="H26" s="26" t="n">
        <v>5</v>
      </c>
      <c r="I26" s="26" t="s">
        <v>158</v>
      </c>
      <c r="J26" s="26" t="s">
        <v>220</v>
      </c>
    </row>
    <row r="27" customFormat="false" ht="31.5" hidden="false" customHeight="true" outlineLevel="0" collapsed="false">
      <c r="A27" s="22" t="s">
        <v>221</v>
      </c>
      <c r="B27" s="22" t="s">
        <v>15</v>
      </c>
      <c r="C27" s="22" t="s">
        <v>26</v>
      </c>
      <c r="D27" s="22" t="s">
        <v>222</v>
      </c>
      <c r="E27" s="22" t="s">
        <v>148</v>
      </c>
      <c r="F27" s="22" t="s">
        <v>152</v>
      </c>
      <c r="G27" s="22" t="s">
        <v>151</v>
      </c>
      <c r="H27" s="22" t="n">
        <v>1</v>
      </c>
      <c r="I27" s="22" t="s">
        <v>158</v>
      </c>
      <c r="J27" s="22" t="s">
        <v>223</v>
      </c>
    </row>
    <row r="28" customFormat="false" ht="31.5" hidden="false" customHeight="true" outlineLevel="0" collapsed="false">
      <c r="A28" s="22" t="s">
        <v>224</v>
      </c>
      <c r="B28" s="22" t="s">
        <v>15</v>
      </c>
      <c r="C28" s="22" t="s">
        <v>26</v>
      </c>
      <c r="D28" s="22" t="s">
        <v>225</v>
      </c>
      <c r="E28" s="22" t="s">
        <v>190</v>
      </c>
      <c r="F28" s="22" t="s">
        <v>152</v>
      </c>
      <c r="G28" s="22" t="s">
        <v>151</v>
      </c>
      <c r="H28" s="22" t="n">
        <v>2</v>
      </c>
      <c r="I28" s="22" t="s">
        <v>158</v>
      </c>
      <c r="J28" s="22" t="s">
        <v>26</v>
      </c>
    </row>
    <row r="29" customFormat="false" ht="31.5" hidden="false" customHeight="true" outlineLevel="0" collapsed="false">
      <c r="A29" s="22" t="s">
        <v>226</v>
      </c>
      <c r="B29" s="22" t="s">
        <v>15</v>
      </c>
      <c r="C29" s="22" t="s">
        <v>148</v>
      </c>
      <c r="D29" s="22" t="s">
        <v>227</v>
      </c>
      <c r="E29" s="22" t="s">
        <v>228</v>
      </c>
      <c r="F29" s="22" t="s">
        <v>151</v>
      </c>
      <c r="G29" s="22" t="s">
        <v>152</v>
      </c>
      <c r="H29" s="22" t="n">
        <v>1</v>
      </c>
      <c r="I29" s="22" t="s">
        <v>153</v>
      </c>
      <c r="J29" s="22" t="s">
        <v>154</v>
      </c>
    </row>
    <row r="30" customFormat="false" ht="31.5" hidden="false" customHeight="true" outlineLevel="0" collapsed="false">
      <c r="A30" s="22" t="s">
        <v>229</v>
      </c>
      <c r="B30" s="22" t="s">
        <v>15</v>
      </c>
      <c r="C30" s="22" t="s">
        <v>148</v>
      </c>
      <c r="D30" s="22" t="s">
        <v>230</v>
      </c>
      <c r="E30" s="22" t="s">
        <v>228</v>
      </c>
      <c r="F30" s="22" t="s">
        <v>152</v>
      </c>
      <c r="G30" s="22" t="s">
        <v>151</v>
      </c>
      <c r="H30" s="22" t="n">
        <v>1</v>
      </c>
      <c r="I30" s="22" t="s">
        <v>153</v>
      </c>
      <c r="J30" s="22" t="s">
        <v>154</v>
      </c>
    </row>
    <row r="31" customFormat="false" ht="31.5" hidden="false" customHeight="true" outlineLevel="0" collapsed="false">
      <c r="A31" s="22" t="s">
        <v>231</v>
      </c>
      <c r="B31" s="22" t="s">
        <v>33</v>
      </c>
      <c r="C31" s="22" t="s">
        <v>148</v>
      </c>
      <c r="D31" s="22" t="s">
        <v>232</v>
      </c>
      <c r="E31" s="22" t="s">
        <v>150</v>
      </c>
      <c r="F31" s="22" t="s">
        <v>151</v>
      </c>
      <c r="G31" s="22" t="s">
        <v>152</v>
      </c>
      <c r="H31" s="22" t="n">
        <v>1</v>
      </c>
      <c r="I31" s="22" t="s">
        <v>153</v>
      </c>
      <c r="J31" s="22" t="s">
        <v>154</v>
      </c>
    </row>
    <row r="32" customFormat="false" ht="31.5" hidden="false" customHeight="true" outlineLevel="0" collapsed="false">
      <c r="A32" s="22" t="s">
        <v>233</v>
      </c>
      <c r="B32" s="22" t="s">
        <v>15</v>
      </c>
      <c r="C32" s="22" t="s">
        <v>167</v>
      </c>
      <c r="D32" s="22" t="s">
        <v>234</v>
      </c>
      <c r="E32" s="22" t="s">
        <v>167</v>
      </c>
      <c r="F32" s="22" t="s">
        <v>151</v>
      </c>
      <c r="G32" s="22" t="s">
        <v>152</v>
      </c>
      <c r="H32" s="22" t="n">
        <v>4</v>
      </c>
      <c r="I32" s="22" t="s">
        <v>158</v>
      </c>
      <c r="J32" s="22" t="s">
        <v>171</v>
      </c>
    </row>
    <row r="33" customFormat="false" ht="31.5" hidden="false" customHeight="true" outlineLevel="0" collapsed="false">
      <c r="A33" s="22" t="s">
        <v>235</v>
      </c>
      <c r="B33" s="22" t="s">
        <v>15</v>
      </c>
      <c r="C33" s="22" t="s">
        <v>167</v>
      </c>
      <c r="D33" s="22" t="s">
        <v>236</v>
      </c>
      <c r="E33" s="22" t="s">
        <v>167</v>
      </c>
      <c r="F33" s="22" t="s">
        <v>151</v>
      </c>
      <c r="G33" s="22" t="s">
        <v>152</v>
      </c>
      <c r="H33" s="22" t="n">
        <v>2</v>
      </c>
      <c r="I33" s="22" t="s">
        <v>158</v>
      </c>
      <c r="J33" s="22" t="s">
        <v>195</v>
      </c>
    </row>
    <row r="34" customFormat="false" ht="31.5" hidden="false" customHeight="true" outlineLevel="0" collapsed="false">
      <c r="A34" s="22" t="s">
        <v>237</v>
      </c>
      <c r="B34" s="22" t="s">
        <v>33</v>
      </c>
      <c r="C34" s="22" t="s">
        <v>167</v>
      </c>
      <c r="D34" s="22" t="s">
        <v>238</v>
      </c>
      <c r="E34" s="22" t="s">
        <v>167</v>
      </c>
      <c r="F34" s="22" t="s">
        <v>151</v>
      </c>
      <c r="G34" s="22" t="s">
        <v>152</v>
      </c>
      <c r="H34" s="22" t="n">
        <v>2</v>
      </c>
      <c r="I34" s="22" t="s">
        <v>153</v>
      </c>
      <c r="J34" s="22" t="s">
        <v>239</v>
      </c>
    </row>
    <row r="35" customFormat="false" ht="31.5" hidden="false" customHeight="true" outlineLevel="0" collapsed="false">
      <c r="A35" s="26" t="s">
        <v>240</v>
      </c>
      <c r="B35" s="26" t="s">
        <v>33</v>
      </c>
      <c r="C35" s="26" t="s">
        <v>30</v>
      </c>
      <c r="D35" s="26" t="s">
        <v>241</v>
      </c>
      <c r="E35" s="26" t="s">
        <v>201</v>
      </c>
      <c r="F35" s="26" t="s">
        <v>152</v>
      </c>
      <c r="G35" s="26" t="s">
        <v>151</v>
      </c>
      <c r="H35" s="26" t="n">
        <v>5</v>
      </c>
      <c r="I35" s="26" t="s">
        <v>158</v>
      </c>
      <c r="J35" s="26" t="s">
        <v>242</v>
      </c>
    </row>
    <row r="36" customFormat="false" ht="31.5" hidden="false" customHeight="true" outlineLevel="0" collapsed="false">
      <c r="A36" s="22" t="s">
        <v>243</v>
      </c>
      <c r="B36" s="22" t="s">
        <v>33</v>
      </c>
      <c r="C36" s="22" t="s">
        <v>30</v>
      </c>
      <c r="D36" s="22" t="s">
        <v>244</v>
      </c>
      <c r="E36" s="22" t="s">
        <v>190</v>
      </c>
      <c r="F36" s="22" t="s">
        <v>151</v>
      </c>
      <c r="G36" s="22" t="s">
        <v>152</v>
      </c>
      <c r="H36" s="22" t="n">
        <v>3</v>
      </c>
      <c r="I36" s="22" t="s">
        <v>158</v>
      </c>
      <c r="J36" s="22" t="s">
        <v>30</v>
      </c>
    </row>
    <row r="37" customFormat="false" ht="31.5" hidden="false" customHeight="true" outlineLevel="0" collapsed="false">
      <c r="A37" s="22" t="s">
        <v>245</v>
      </c>
      <c r="B37" s="22" t="s">
        <v>33</v>
      </c>
      <c r="C37" s="22" t="s">
        <v>30</v>
      </c>
      <c r="D37" s="22" t="s">
        <v>246</v>
      </c>
      <c r="E37" s="22" t="s">
        <v>194</v>
      </c>
      <c r="F37" s="22" t="s">
        <v>151</v>
      </c>
      <c r="G37" s="22" t="s">
        <v>152</v>
      </c>
      <c r="H37" s="22" t="n">
        <v>1</v>
      </c>
      <c r="I37" s="22" t="s">
        <v>158</v>
      </c>
      <c r="J37" s="22" t="s">
        <v>195</v>
      </c>
    </row>
    <row r="38" customFormat="false" ht="31.5" hidden="false" customHeight="true" outlineLevel="0" collapsed="false">
      <c r="A38" s="22" t="s">
        <v>247</v>
      </c>
      <c r="B38" s="22" t="s">
        <v>33</v>
      </c>
      <c r="C38" s="22" t="s">
        <v>35</v>
      </c>
      <c r="D38" s="22" t="s">
        <v>248</v>
      </c>
      <c r="E38" s="22" t="s">
        <v>180</v>
      </c>
      <c r="F38" s="22" t="s">
        <v>152</v>
      </c>
      <c r="G38" s="22" t="s">
        <v>151</v>
      </c>
      <c r="H38" s="22" t="n">
        <v>3</v>
      </c>
      <c r="I38" s="22" t="s">
        <v>158</v>
      </c>
      <c r="J38" s="22" t="s">
        <v>249</v>
      </c>
    </row>
    <row r="39" customFormat="false" ht="31.5" hidden="false" customHeight="true" outlineLevel="0" collapsed="false">
      <c r="A39" s="22" t="s">
        <v>250</v>
      </c>
      <c r="B39" s="22" t="s">
        <v>33</v>
      </c>
      <c r="C39" s="22" t="s">
        <v>35</v>
      </c>
      <c r="D39" s="22" t="s">
        <v>251</v>
      </c>
      <c r="E39" s="22" t="s">
        <v>190</v>
      </c>
      <c r="F39" s="22" t="s">
        <v>151</v>
      </c>
      <c r="G39" s="22" t="s">
        <v>152</v>
      </c>
      <c r="H39" s="22" t="n">
        <v>3</v>
      </c>
      <c r="I39" s="22" t="s">
        <v>158</v>
      </c>
      <c r="J39" s="22" t="s">
        <v>35</v>
      </c>
    </row>
    <row r="40" customFormat="false" ht="31.5" hidden="false" customHeight="true" outlineLevel="0" collapsed="false">
      <c r="A40" s="22" t="s">
        <v>252</v>
      </c>
      <c r="B40" s="22" t="s">
        <v>33</v>
      </c>
      <c r="C40" s="22" t="s">
        <v>39</v>
      </c>
      <c r="D40" s="22" t="s">
        <v>253</v>
      </c>
      <c r="E40" s="22" t="s">
        <v>180</v>
      </c>
      <c r="F40" s="22" t="s">
        <v>152</v>
      </c>
      <c r="G40" s="22" t="s">
        <v>151</v>
      </c>
      <c r="H40" s="22" t="n">
        <v>3</v>
      </c>
      <c r="I40" s="22" t="s">
        <v>158</v>
      </c>
      <c r="J40" s="22" t="s">
        <v>254</v>
      </c>
    </row>
    <row r="41" customFormat="false" ht="31.5" hidden="false" customHeight="true" outlineLevel="0" collapsed="false">
      <c r="A41" s="22" t="s">
        <v>255</v>
      </c>
      <c r="B41" s="22" t="s">
        <v>33</v>
      </c>
      <c r="C41" s="22" t="s">
        <v>39</v>
      </c>
      <c r="D41" s="22" t="s">
        <v>256</v>
      </c>
      <c r="E41" s="22" t="s">
        <v>190</v>
      </c>
      <c r="F41" s="22" t="s">
        <v>151</v>
      </c>
      <c r="G41" s="22" t="s">
        <v>152</v>
      </c>
      <c r="H41" s="22" t="n">
        <v>3</v>
      </c>
      <c r="I41" s="22" t="s">
        <v>158</v>
      </c>
      <c r="J41" s="22" t="s">
        <v>39</v>
      </c>
    </row>
    <row r="42" customFormat="false" ht="31.5" hidden="false" customHeight="true" outlineLevel="0" collapsed="false">
      <c r="A42" s="26" t="s">
        <v>257</v>
      </c>
      <c r="B42" s="26" t="s">
        <v>33</v>
      </c>
      <c r="C42" s="26" t="s">
        <v>43</v>
      </c>
      <c r="D42" s="26" t="s">
        <v>258</v>
      </c>
      <c r="E42" s="26" t="s">
        <v>201</v>
      </c>
      <c r="F42" s="26" t="s">
        <v>152</v>
      </c>
      <c r="G42" s="26" t="s">
        <v>151</v>
      </c>
      <c r="H42" s="26" t="n">
        <v>5</v>
      </c>
      <c r="I42" s="26" t="s">
        <v>158</v>
      </c>
      <c r="J42" s="26" t="s">
        <v>259</v>
      </c>
    </row>
    <row r="43" customFormat="false" ht="31.5" hidden="false" customHeight="true" outlineLevel="0" collapsed="false">
      <c r="A43" s="22" t="s">
        <v>260</v>
      </c>
      <c r="B43" s="22" t="s">
        <v>33</v>
      </c>
      <c r="C43" s="22" t="s">
        <v>43</v>
      </c>
      <c r="D43" s="22" t="s">
        <v>261</v>
      </c>
      <c r="E43" s="22" t="s">
        <v>190</v>
      </c>
      <c r="F43" s="22" t="s">
        <v>151</v>
      </c>
      <c r="G43" s="22" t="s">
        <v>152</v>
      </c>
      <c r="H43" s="22" t="n">
        <v>3</v>
      </c>
      <c r="I43" s="22" t="s">
        <v>158</v>
      </c>
      <c r="J43" s="22" t="s">
        <v>43</v>
      </c>
    </row>
    <row r="44" customFormat="false" ht="31.5" hidden="false" customHeight="true" outlineLevel="0" collapsed="false">
      <c r="A44" s="22" t="s">
        <v>262</v>
      </c>
      <c r="B44" s="22" t="s">
        <v>33</v>
      </c>
      <c r="C44" s="22" t="s">
        <v>48</v>
      </c>
      <c r="D44" s="22" t="s">
        <v>263</v>
      </c>
      <c r="E44" s="22" t="s">
        <v>264</v>
      </c>
      <c r="F44" s="22" t="s">
        <v>151</v>
      </c>
      <c r="G44" s="22" t="s">
        <v>152</v>
      </c>
      <c r="H44" s="22" t="n">
        <v>4</v>
      </c>
      <c r="I44" s="22" t="s">
        <v>158</v>
      </c>
      <c r="J44" s="22" t="s">
        <v>265</v>
      </c>
    </row>
    <row r="45" customFormat="false" ht="31.5" hidden="false" customHeight="true" outlineLevel="0" collapsed="false">
      <c r="A45" s="22" t="s">
        <v>266</v>
      </c>
      <c r="B45" s="22" t="s">
        <v>33</v>
      </c>
      <c r="C45" s="22" t="s">
        <v>148</v>
      </c>
      <c r="D45" s="22" t="s">
        <v>227</v>
      </c>
      <c r="E45" s="22" t="s">
        <v>228</v>
      </c>
      <c r="F45" s="22" t="s">
        <v>151</v>
      </c>
      <c r="G45" s="22" t="s">
        <v>152</v>
      </c>
      <c r="H45" s="22" t="n">
        <v>1</v>
      </c>
      <c r="I45" s="22" t="s">
        <v>153</v>
      </c>
      <c r="J45" s="22" t="s">
        <v>154</v>
      </c>
    </row>
    <row r="46" customFormat="false" ht="31.5" hidden="false" customHeight="true" outlineLevel="0" collapsed="false">
      <c r="A46" s="22" t="s">
        <v>267</v>
      </c>
      <c r="B46" s="22" t="s">
        <v>33</v>
      </c>
      <c r="C46" s="22" t="s">
        <v>148</v>
      </c>
      <c r="D46" s="22" t="s">
        <v>230</v>
      </c>
      <c r="E46" s="22" t="s">
        <v>228</v>
      </c>
      <c r="F46" s="22" t="s">
        <v>152</v>
      </c>
      <c r="G46" s="22" t="s">
        <v>151</v>
      </c>
      <c r="H46" s="22" t="n">
        <v>1</v>
      </c>
      <c r="I46" s="22" t="s">
        <v>158</v>
      </c>
      <c r="J46" s="22" t="s">
        <v>154</v>
      </c>
    </row>
    <row r="47" customFormat="false" ht="31.5" hidden="false" customHeight="true" outlineLevel="0" collapsed="false">
      <c r="A47" s="22" t="s">
        <v>268</v>
      </c>
      <c r="B47" s="22" t="s">
        <v>56</v>
      </c>
      <c r="C47" s="22" t="s">
        <v>52</v>
      </c>
      <c r="D47" s="22" t="s">
        <v>269</v>
      </c>
      <c r="E47" s="22" t="s">
        <v>180</v>
      </c>
      <c r="F47" s="22" t="s">
        <v>152</v>
      </c>
      <c r="G47" s="22" t="s">
        <v>151</v>
      </c>
      <c r="H47" s="22" t="n">
        <v>3</v>
      </c>
      <c r="I47" s="22" t="s">
        <v>158</v>
      </c>
      <c r="J47" s="22" t="s">
        <v>270</v>
      </c>
    </row>
    <row r="48" customFormat="false" ht="31.5" hidden="false" customHeight="true" outlineLevel="0" collapsed="false">
      <c r="A48" s="22" t="s">
        <v>271</v>
      </c>
      <c r="B48" s="22" t="s">
        <v>56</v>
      </c>
      <c r="C48" s="22" t="s">
        <v>52</v>
      </c>
      <c r="D48" s="22" t="s">
        <v>272</v>
      </c>
      <c r="E48" s="22" t="s">
        <v>190</v>
      </c>
      <c r="F48" s="22" t="s">
        <v>151</v>
      </c>
      <c r="G48" s="22" t="s">
        <v>152</v>
      </c>
      <c r="H48" s="22" t="n">
        <v>3</v>
      </c>
      <c r="I48" s="22" t="s">
        <v>158</v>
      </c>
      <c r="J48" s="22" t="s">
        <v>52</v>
      </c>
    </row>
    <row r="49" customFormat="false" ht="31.5" hidden="false" customHeight="true" outlineLevel="0" collapsed="false">
      <c r="A49" s="22" t="s">
        <v>273</v>
      </c>
      <c r="B49" s="22" t="s">
        <v>56</v>
      </c>
      <c r="C49" s="22" t="s">
        <v>58</v>
      </c>
      <c r="D49" s="22" t="s">
        <v>274</v>
      </c>
      <c r="E49" s="22" t="s">
        <v>180</v>
      </c>
      <c r="F49" s="22" t="s">
        <v>152</v>
      </c>
      <c r="G49" s="22" t="s">
        <v>151</v>
      </c>
      <c r="H49" s="22" t="n">
        <v>5</v>
      </c>
      <c r="I49" s="22" t="s">
        <v>158</v>
      </c>
      <c r="J49" s="22" t="s">
        <v>275</v>
      </c>
    </row>
    <row r="50" customFormat="false" ht="31.5" hidden="false" customHeight="true" outlineLevel="0" collapsed="false">
      <c r="A50" s="22" t="s">
        <v>276</v>
      </c>
      <c r="B50" s="22" t="s">
        <v>56</v>
      </c>
      <c r="C50" s="22" t="s">
        <v>58</v>
      </c>
      <c r="D50" s="22" t="s">
        <v>277</v>
      </c>
      <c r="E50" s="22" t="s">
        <v>180</v>
      </c>
      <c r="F50" s="22" t="s">
        <v>152</v>
      </c>
      <c r="G50" s="22" t="s">
        <v>151</v>
      </c>
      <c r="H50" s="22" t="n">
        <v>4</v>
      </c>
      <c r="I50" s="22" t="s">
        <v>158</v>
      </c>
      <c r="J50" s="22" t="s">
        <v>278</v>
      </c>
    </row>
    <row r="51" customFormat="false" ht="31.5" hidden="false" customHeight="true" outlineLevel="0" collapsed="false">
      <c r="A51" s="22" t="s">
        <v>279</v>
      </c>
      <c r="B51" s="22" t="s">
        <v>56</v>
      </c>
      <c r="C51" s="22" t="s">
        <v>58</v>
      </c>
      <c r="D51" s="22" t="s">
        <v>280</v>
      </c>
      <c r="E51" s="22" t="s">
        <v>190</v>
      </c>
      <c r="F51" s="22" t="s">
        <v>151</v>
      </c>
      <c r="G51" s="22" t="s">
        <v>152</v>
      </c>
      <c r="H51" s="22" t="n">
        <v>2</v>
      </c>
      <c r="I51" s="22" t="s">
        <v>158</v>
      </c>
      <c r="J51" s="22" t="s">
        <v>58</v>
      </c>
    </row>
    <row r="52" customFormat="false" ht="31.5" hidden="false" customHeight="true" outlineLevel="0" collapsed="false">
      <c r="A52" s="22" t="s">
        <v>281</v>
      </c>
      <c r="B52" s="22" t="s">
        <v>56</v>
      </c>
      <c r="C52" s="22" t="s">
        <v>62</v>
      </c>
      <c r="D52" s="22" t="s">
        <v>282</v>
      </c>
      <c r="E52" s="22" t="s">
        <v>180</v>
      </c>
      <c r="F52" s="22" t="s">
        <v>152</v>
      </c>
      <c r="G52" s="22" t="s">
        <v>151</v>
      </c>
      <c r="H52" s="22" t="n">
        <v>3</v>
      </c>
      <c r="I52" s="22" t="s">
        <v>158</v>
      </c>
      <c r="J52" s="22" t="s">
        <v>283</v>
      </c>
    </row>
    <row r="53" customFormat="false" ht="31.5" hidden="false" customHeight="true" outlineLevel="0" collapsed="false">
      <c r="A53" s="22" t="s">
        <v>284</v>
      </c>
      <c r="B53" s="22" t="s">
        <v>56</v>
      </c>
      <c r="C53" s="22" t="s">
        <v>62</v>
      </c>
      <c r="D53" s="22" t="s">
        <v>285</v>
      </c>
      <c r="E53" s="22" t="s">
        <v>190</v>
      </c>
      <c r="F53" s="22" t="s">
        <v>151</v>
      </c>
      <c r="G53" s="22" t="s">
        <v>152</v>
      </c>
      <c r="H53" s="22" t="n">
        <v>2</v>
      </c>
      <c r="I53" s="22" t="s">
        <v>158</v>
      </c>
      <c r="J53" s="22" t="s">
        <v>62</v>
      </c>
    </row>
    <row r="54" customFormat="false" ht="31.5" hidden="false" customHeight="true" outlineLevel="0" collapsed="false">
      <c r="A54" s="22" t="s">
        <v>286</v>
      </c>
      <c r="B54" s="22" t="s">
        <v>56</v>
      </c>
      <c r="C54" s="22" t="s">
        <v>66</v>
      </c>
      <c r="D54" s="22" t="s">
        <v>287</v>
      </c>
      <c r="E54" s="22" t="s">
        <v>180</v>
      </c>
      <c r="F54" s="22" t="s">
        <v>152</v>
      </c>
      <c r="G54" s="22" t="s">
        <v>151</v>
      </c>
      <c r="H54" s="22" t="n">
        <v>2</v>
      </c>
      <c r="I54" s="22" t="s">
        <v>158</v>
      </c>
      <c r="J54" s="22" t="s">
        <v>288</v>
      </c>
    </row>
    <row r="55" customFormat="false" ht="31.5" hidden="false" customHeight="true" outlineLevel="0" collapsed="false">
      <c r="A55" s="22" t="s">
        <v>289</v>
      </c>
      <c r="B55" s="22" t="s">
        <v>56</v>
      </c>
      <c r="C55" s="22" t="s">
        <v>66</v>
      </c>
      <c r="D55" s="22" t="s">
        <v>290</v>
      </c>
      <c r="E55" s="22" t="s">
        <v>190</v>
      </c>
      <c r="F55" s="22" t="s">
        <v>151</v>
      </c>
      <c r="G55" s="22" t="s">
        <v>152</v>
      </c>
      <c r="H55" s="22" t="n">
        <v>3</v>
      </c>
      <c r="I55" s="22" t="s">
        <v>158</v>
      </c>
      <c r="J55" s="22" t="s">
        <v>66</v>
      </c>
    </row>
    <row r="56" customFormat="false" ht="31.5" hidden="false" customHeight="true" outlineLevel="0" collapsed="false">
      <c r="A56" s="22" t="s">
        <v>291</v>
      </c>
      <c r="B56" s="22" t="s">
        <v>56</v>
      </c>
      <c r="C56" s="22" t="s">
        <v>148</v>
      </c>
      <c r="D56" s="22" t="s">
        <v>292</v>
      </c>
      <c r="E56" s="22" t="s">
        <v>194</v>
      </c>
      <c r="F56" s="22" t="s">
        <v>151</v>
      </c>
      <c r="G56" s="22" t="s">
        <v>152</v>
      </c>
      <c r="H56" s="22" t="n">
        <v>3</v>
      </c>
      <c r="I56" s="22" t="s">
        <v>158</v>
      </c>
      <c r="J56" s="22" t="s">
        <v>293</v>
      </c>
    </row>
    <row r="57" customFormat="false" ht="31.5" hidden="false" customHeight="true" outlineLevel="0" collapsed="false">
      <c r="A57" s="22" t="s">
        <v>294</v>
      </c>
      <c r="B57" s="22" t="s">
        <v>56</v>
      </c>
      <c r="C57" s="22" t="s">
        <v>148</v>
      </c>
      <c r="D57" s="22" t="s">
        <v>295</v>
      </c>
      <c r="E57" s="22" t="s">
        <v>194</v>
      </c>
      <c r="F57" s="22" t="s">
        <v>151</v>
      </c>
      <c r="G57" s="22" t="s">
        <v>152</v>
      </c>
      <c r="H57" s="22" t="n">
        <v>3</v>
      </c>
      <c r="I57" s="22" t="s">
        <v>158</v>
      </c>
      <c r="J57" s="22" t="s">
        <v>195</v>
      </c>
    </row>
    <row r="58" customFormat="false" ht="31.5" hidden="false" customHeight="true" outlineLevel="0" collapsed="false">
      <c r="A58" s="22" t="s">
        <v>296</v>
      </c>
      <c r="B58" s="22" t="s">
        <v>56</v>
      </c>
      <c r="C58" s="22" t="s">
        <v>148</v>
      </c>
      <c r="D58" s="22" t="s">
        <v>297</v>
      </c>
      <c r="E58" s="22" t="s">
        <v>194</v>
      </c>
      <c r="F58" s="22" t="s">
        <v>151</v>
      </c>
      <c r="G58" s="22" t="s">
        <v>152</v>
      </c>
      <c r="H58" s="22" t="n">
        <v>3</v>
      </c>
      <c r="I58" s="22" t="s">
        <v>153</v>
      </c>
      <c r="J58" s="22" t="s">
        <v>298</v>
      </c>
    </row>
    <row r="59" customFormat="false" ht="31.5" hidden="false" customHeight="true" outlineLevel="0" collapsed="false">
      <c r="A59" s="22" t="s">
        <v>299</v>
      </c>
      <c r="B59" s="22" t="s">
        <v>56</v>
      </c>
      <c r="C59" s="22" t="s">
        <v>148</v>
      </c>
      <c r="D59" s="22" t="s">
        <v>227</v>
      </c>
      <c r="E59" s="22" t="s">
        <v>228</v>
      </c>
      <c r="F59" s="22" t="s">
        <v>151</v>
      </c>
      <c r="G59" s="22" t="s">
        <v>152</v>
      </c>
      <c r="H59" s="22" t="n">
        <v>1</v>
      </c>
      <c r="I59" s="22" t="s">
        <v>153</v>
      </c>
      <c r="J59" s="22" t="s">
        <v>154</v>
      </c>
    </row>
    <row r="60" customFormat="false" ht="31.5" hidden="false" customHeight="true" outlineLevel="0" collapsed="false">
      <c r="A60" s="22" t="s">
        <v>300</v>
      </c>
      <c r="B60" s="22" t="s">
        <v>56</v>
      </c>
      <c r="C60" s="22" t="s">
        <v>148</v>
      </c>
      <c r="D60" s="22" t="s">
        <v>230</v>
      </c>
      <c r="E60" s="22" t="s">
        <v>228</v>
      </c>
      <c r="F60" s="22" t="s">
        <v>152</v>
      </c>
      <c r="G60" s="22" t="s">
        <v>151</v>
      </c>
      <c r="H60" s="22" t="n">
        <v>1</v>
      </c>
      <c r="I60" s="22" t="s">
        <v>301</v>
      </c>
      <c r="J60" s="22" t="s">
        <v>154</v>
      </c>
    </row>
    <row r="61" customFormat="false" ht="31.5" hidden="false" customHeight="true" outlineLevel="0" collapsed="false">
      <c r="A61" s="22" t="s">
        <v>302</v>
      </c>
      <c r="B61" s="22" t="s">
        <v>73</v>
      </c>
      <c r="C61" s="22" t="s">
        <v>70</v>
      </c>
      <c r="D61" s="22" t="s">
        <v>303</v>
      </c>
      <c r="E61" s="22" t="s">
        <v>180</v>
      </c>
      <c r="F61" s="22" t="s">
        <v>152</v>
      </c>
      <c r="G61" s="22" t="s">
        <v>151</v>
      </c>
      <c r="H61" s="22" t="n">
        <v>4</v>
      </c>
      <c r="I61" s="22" t="s">
        <v>153</v>
      </c>
      <c r="J61" s="22" t="s">
        <v>304</v>
      </c>
    </row>
    <row r="62" customFormat="false" ht="31.5" hidden="false" customHeight="true" outlineLevel="0" collapsed="false">
      <c r="A62" s="22" t="s">
        <v>305</v>
      </c>
      <c r="B62" s="22" t="s">
        <v>73</v>
      </c>
      <c r="C62" s="22" t="s">
        <v>70</v>
      </c>
      <c r="D62" s="22" t="s">
        <v>306</v>
      </c>
      <c r="E62" s="22" t="s">
        <v>180</v>
      </c>
      <c r="F62" s="22" t="s">
        <v>152</v>
      </c>
      <c r="G62" s="22" t="s">
        <v>151</v>
      </c>
      <c r="H62" s="22" t="n">
        <v>3</v>
      </c>
      <c r="I62" s="22" t="s">
        <v>153</v>
      </c>
      <c r="J62" s="22" t="s">
        <v>307</v>
      </c>
    </row>
    <row r="63" customFormat="false" ht="31.5" hidden="false" customHeight="true" outlineLevel="0" collapsed="false">
      <c r="A63" s="22" t="s">
        <v>308</v>
      </c>
      <c r="B63" s="22" t="s">
        <v>73</v>
      </c>
      <c r="C63" s="22" t="s">
        <v>70</v>
      </c>
      <c r="D63" s="22" t="s">
        <v>309</v>
      </c>
      <c r="E63" s="22" t="s">
        <v>190</v>
      </c>
      <c r="F63" s="22" t="s">
        <v>151</v>
      </c>
      <c r="G63" s="22" t="s">
        <v>152</v>
      </c>
      <c r="H63" s="22" t="n">
        <v>3</v>
      </c>
      <c r="I63" s="22" t="s">
        <v>153</v>
      </c>
      <c r="J63" s="22" t="s">
        <v>70</v>
      </c>
    </row>
    <row r="64" customFormat="false" ht="31.5" hidden="false" customHeight="true" outlineLevel="0" collapsed="false">
      <c r="A64" s="22" t="s">
        <v>310</v>
      </c>
      <c r="B64" s="22" t="s">
        <v>73</v>
      </c>
      <c r="C64" s="22" t="s">
        <v>75</v>
      </c>
      <c r="D64" s="22" t="s">
        <v>311</v>
      </c>
      <c r="E64" s="22" t="s">
        <v>180</v>
      </c>
      <c r="F64" s="22" t="s">
        <v>152</v>
      </c>
      <c r="G64" s="22" t="s">
        <v>151</v>
      </c>
      <c r="H64" s="22" t="n">
        <v>3</v>
      </c>
      <c r="I64" s="22" t="s">
        <v>153</v>
      </c>
      <c r="J64" s="22" t="s">
        <v>312</v>
      </c>
    </row>
    <row r="65" customFormat="false" ht="31.5" hidden="false" customHeight="true" outlineLevel="0" collapsed="false">
      <c r="A65" s="22" t="s">
        <v>313</v>
      </c>
      <c r="B65" s="22" t="s">
        <v>73</v>
      </c>
      <c r="C65" s="22" t="s">
        <v>75</v>
      </c>
      <c r="D65" s="22" t="s">
        <v>314</v>
      </c>
      <c r="E65" s="22" t="s">
        <v>264</v>
      </c>
      <c r="F65" s="22" t="s">
        <v>151</v>
      </c>
      <c r="G65" s="22" t="s">
        <v>152</v>
      </c>
      <c r="H65" s="22" t="n">
        <v>3</v>
      </c>
      <c r="I65" s="22" t="s">
        <v>153</v>
      </c>
      <c r="J65" s="22" t="s">
        <v>315</v>
      </c>
    </row>
    <row r="66" customFormat="false" ht="31.5" hidden="false" customHeight="true" outlineLevel="0" collapsed="false">
      <c r="A66" s="22" t="s">
        <v>316</v>
      </c>
      <c r="B66" s="22" t="s">
        <v>73</v>
      </c>
      <c r="C66" s="22" t="s">
        <v>80</v>
      </c>
      <c r="D66" s="22" t="s">
        <v>317</v>
      </c>
      <c r="E66" s="22" t="s">
        <v>264</v>
      </c>
      <c r="F66" s="22" t="s">
        <v>151</v>
      </c>
      <c r="G66" s="22" t="s">
        <v>152</v>
      </c>
      <c r="H66" s="22" t="n">
        <v>2</v>
      </c>
      <c r="I66" s="22" t="s">
        <v>153</v>
      </c>
      <c r="J66" s="22" t="s">
        <v>318</v>
      </c>
    </row>
    <row r="67" customFormat="false" ht="31.5" hidden="false" customHeight="true" outlineLevel="0" collapsed="false">
      <c r="A67" s="22" t="s">
        <v>319</v>
      </c>
      <c r="B67" s="22" t="s">
        <v>73</v>
      </c>
      <c r="C67" s="22" t="s">
        <v>148</v>
      </c>
      <c r="D67" s="22" t="s">
        <v>320</v>
      </c>
      <c r="E67" s="22" t="s">
        <v>194</v>
      </c>
      <c r="F67" s="22" t="s">
        <v>151</v>
      </c>
      <c r="G67" s="22" t="s">
        <v>152</v>
      </c>
      <c r="H67" s="22" t="n">
        <v>2</v>
      </c>
      <c r="I67" s="22" t="s">
        <v>153</v>
      </c>
      <c r="J67" s="22" t="s">
        <v>321</v>
      </c>
    </row>
    <row r="68" customFormat="false" ht="31.5" hidden="false" customHeight="true" outlineLevel="0" collapsed="false">
      <c r="A68" s="22" t="s">
        <v>322</v>
      </c>
      <c r="B68" s="22" t="s">
        <v>73</v>
      </c>
      <c r="C68" s="22" t="s">
        <v>148</v>
      </c>
      <c r="D68" s="22" t="s">
        <v>323</v>
      </c>
      <c r="E68" s="22" t="s">
        <v>324</v>
      </c>
      <c r="F68" s="22" t="s">
        <v>152</v>
      </c>
      <c r="G68" s="22" t="s">
        <v>151</v>
      </c>
      <c r="H68" s="22" t="n">
        <v>2</v>
      </c>
      <c r="I68" s="22" t="s">
        <v>153</v>
      </c>
      <c r="J68" s="22" t="s">
        <v>325</v>
      </c>
    </row>
    <row r="69" customFormat="false" ht="31.5" hidden="false" customHeight="true" outlineLevel="0" collapsed="false">
      <c r="A69" s="22" t="s">
        <v>326</v>
      </c>
      <c r="B69" s="22" t="s">
        <v>73</v>
      </c>
      <c r="C69" s="22" t="s">
        <v>148</v>
      </c>
      <c r="D69" s="22" t="s">
        <v>327</v>
      </c>
      <c r="E69" s="22" t="s">
        <v>328</v>
      </c>
      <c r="F69" s="22" t="s">
        <v>151</v>
      </c>
      <c r="G69" s="22" t="s">
        <v>152</v>
      </c>
      <c r="H69" s="22" t="n">
        <v>4</v>
      </c>
      <c r="I69" s="22" t="s">
        <v>153</v>
      </c>
      <c r="J69" s="22" t="s">
        <v>159</v>
      </c>
    </row>
    <row r="70" customFormat="false" ht="31.5" hidden="false" customHeight="true" outlineLevel="0" collapsed="false">
      <c r="A70" s="22" t="s">
        <v>329</v>
      </c>
      <c r="B70" s="22" t="s">
        <v>73</v>
      </c>
      <c r="C70" s="22" t="s">
        <v>148</v>
      </c>
      <c r="D70" s="22" t="s">
        <v>330</v>
      </c>
      <c r="E70" s="22" t="s">
        <v>328</v>
      </c>
      <c r="F70" s="22" t="s">
        <v>152</v>
      </c>
      <c r="G70" s="22" t="s">
        <v>151</v>
      </c>
      <c r="H70" s="22" t="n">
        <v>3</v>
      </c>
      <c r="I70" s="22" t="s">
        <v>153</v>
      </c>
      <c r="J70" s="22" t="s">
        <v>159</v>
      </c>
    </row>
    <row r="71" customFormat="false" ht="31.5" hidden="false" customHeight="true" outlineLevel="0" collapsed="false">
      <c r="A71" s="22" t="s">
        <v>331</v>
      </c>
      <c r="B71" s="22" t="s">
        <v>73</v>
      </c>
      <c r="C71" s="22" t="s">
        <v>148</v>
      </c>
      <c r="D71" s="22" t="s">
        <v>332</v>
      </c>
      <c r="E71" s="22" t="s">
        <v>228</v>
      </c>
      <c r="F71" s="22" t="s">
        <v>151</v>
      </c>
      <c r="G71" s="22" t="s">
        <v>152</v>
      </c>
      <c r="H71" s="22" t="n">
        <v>1</v>
      </c>
      <c r="I71" s="22" t="s">
        <v>153</v>
      </c>
      <c r="J71" s="22" t="s">
        <v>154</v>
      </c>
    </row>
    <row r="72" customFormat="false" ht="31.5" hidden="false" customHeight="true" outlineLevel="0" collapsed="false">
      <c r="A72" s="22" t="s">
        <v>333</v>
      </c>
      <c r="B72" s="22" t="s">
        <v>73</v>
      </c>
      <c r="C72" s="22" t="s">
        <v>148</v>
      </c>
      <c r="D72" s="22" t="s">
        <v>334</v>
      </c>
      <c r="E72" s="22" t="s">
        <v>228</v>
      </c>
      <c r="F72" s="22" t="s">
        <v>152</v>
      </c>
      <c r="G72" s="22" t="s">
        <v>151</v>
      </c>
      <c r="H72" s="22" t="n">
        <v>1</v>
      </c>
      <c r="I72" s="22" t="s">
        <v>153</v>
      </c>
      <c r="J72" s="22" t="s">
        <v>154</v>
      </c>
    </row>
    <row r="73" customFormat="false" ht="31.5" hidden="false" customHeight="true" outlineLevel="0" collapsed="false">
      <c r="A73" s="22" t="s">
        <v>335</v>
      </c>
      <c r="B73" s="22" t="s">
        <v>73</v>
      </c>
      <c r="C73" s="22" t="s">
        <v>148</v>
      </c>
      <c r="D73" s="22" t="s">
        <v>336</v>
      </c>
      <c r="E73" s="22" t="s">
        <v>167</v>
      </c>
      <c r="F73" s="22" t="s">
        <v>152</v>
      </c>
      <c r="G73" s="22" t="s">
        <v>151</v>
      </c>
      <c r="H73" s="22" t="n">
        <v>1</v>
      </c>
      <c r="I73" s="22" t="s">
        <v>153</v>
      </c>
      <c r="J73" s="22" t="s">
        <v>337</v>
      </c>
    </row>
  </sheetData>
  <autoFilter ref="A4:J73"/>
  <mergeCells count="1">
    <mergeCell ref="A2:J2"/>
  </mergeCells>
  <dataValidations count="1">
    <dataValidation allowBlank="true" errorStyle="stop" operator="between" showDropDown="false" showErrorMessage="false" showInputMessage="false" sqref="I5:I73" type="list">
      <formula1>"Por hacer,En proceso,En revisión,Hecho"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80"/>
    <col collapsed="false" customWidth="true" hidden="false" outlineLevel="0" max="2" min="2" style="1" width="45"/>
  </cols>
  <sheetData>
    <row r="1" customFormat="false" ht="17.25" hidden="false" customHeight="true" outlineLevel="0" collapsed="false">
      <c r="A1" s="18" t="s">
        <v>338</v>
      </c>
    </row>
    <row r="3" customFormat="false" ht="15" hidden="false" customHeight="true" outlineLevel="0" collapsed="false">
      <c r="A3" s="21" t="s">
        <v>339</v>
      </c>
      <c r="B3" s="21" t="s">
        <v>340</v>
      </c>
    </row>
    <row r="4" customFormat="false" ht="27.75" hidden="false" customHeight="true" outlineLevel="0" collapsed="false">
      <c r="A4" s="22" t="s">
        <v>341</v>
      </c>
      <c r="B4" s="22" t="s">
        <v>342</v>
      </c>
    </row>
    <row r="5" customFormat="false" ht="27.75" hidden="false" customHeight="true" outlineLevel="0" collapsed="false">
      <c r="A5" s="22" t="s">
        <v>343</v>
      </c>
      <c r="B5" s="22" t="s">
        <v>344</v>
      </c>
    </row>
    <row r="6" customFormat="false" ht="27.75" hidden="false" customHeight="true" outlineLevel="0" collapsed="false">
      <c r="A6" s="22" t="s">
        <v>345</v>
      </c>
      <c r="B6" s="22" t="s">
        <v>346</v>
      </c>
    </row>
    <row r="7" customFormat="false" ht="27.75" hidden="false" customHeight="true" outlineLevel="0" collapsed="false">
      <c r="A7" s="22" t="s">
        <v>347</v>
      </c>
      <c r="B7" s="22" t="s">
        <v>348</v>
      </c>
    </row>
    <row r="8" customFormat="false" ht="27.75" hidden="false" customHeight="true" outlineLevel="0" collapsed="false">
      <c r="A8" s="22" t="s">
        <v>349</v>
      </c>
      <c r="B8" s="22" t="s">
        <v>350</v>
      </c>
    </row>
    <row r="9" customFormat="false" ht="27.75" hidden="false" customHeight="true" outlineLevel="0" collapsed="false">
      <c r="A9" s="22" t="s">
        <v>351</v>
      </c>
      <c r="B9" s="22" t="s">
        <v>352</v>
      </c>
    </row>
    <row r="11" customFormat="false" ht="15" hidden="false" customHeight="true" outlineLevel="0" collapsed="false">
      <c r="A11" s="24" t="s">
        <v>353</v>
      </c>
      <c r="B11" s="24" t="s">
        <v>340</v>
      </c>
    </row>
    <row r="12" customFormat="false" ht="27.75" hidden="false" customHeight="true" outlineLevel="0" collapsed="false">
      <c r="A12" s="22" t="s">
        <v>354</v>
      </c>
      <c r="B12" s="22" t="s">
        <v>355</v>
      </c>
    </row>
    <row r="13" customFormat="false" ht="27.75" hidden="false" customHeight="true" outlineLevel="0" collapsed="false">
      <c r="A13" s="22" t="s">
        <v>356</v>
      </c>
      <c r="B13" s="22" t="s">
        <v>357</v>
      </c>
    </row>
    <row r="14" customFormat="false" ht="27.75" hidden="false" customHeight="true" outlineLevel="0" collapsed="false">
      <c r="A14" s="22" t="s">
        <v>358</v>
      </c>
      <c r="B14" s="22" t="s">
        <v>359</v>
      </c>
    </row>
    <row r="15" customFormat="false" ht="27.75" hidden="false" customHeight="true" outlineLevel="0" collapsed="false">
      <c r="A15" s="22" t="s">
        <v>360</v>
      </c>
      <c r="B15" s="22" t="s">
        <v>361</v>
      </c>
    </row>
    <row r="16" customFormat="false" ht="27.75" hidden="false" customHeight="true" outlineLevel="0" collapsed="false">
      <c r="A16" s="22" t="s">
        <v>362</v>
      </c>
      <c r="B16" s="22" t="s">
        <v>363</v>
      </c>
    </row>
    <row r="17" customFormat="false" ht="27.75" hidden="false" customHeight="true" outlineLevel="0" collapsed="false">
      <c r="A17" s="22" t="s">
        <v>364</v>
      </c>
      <c r="B17" s="22" t="s">
        <v>365</v>
      </c>
    </row>
    <row r="18" customFormat="false" ht="27.75" hidden="false" customHeight="true" outlineLevel="0" collapsed="false">
      <c r="A18" s="22" t="s">
        <v>366</v>
      </c>
      <c r="B18" s="22" t="s">
        <v>367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8"/>
    <col collapsed="false" customWidth="true" hidden="false" outlineLevel="0" max="2" min="2" style="1" width="24"/>
    <col collapsed="false" customWidth="true" hidden="false" outlineLevel="0" max="3" min="3" style="1" width="5"/>
    <col collapsed="false" customWidth="true" hidden="false" outlineLevel="0" max="4" min="4" style="1" width="90"/>
    <col collapsed="false" customWidth="true" hidden="false" outlineLevel="0" max="5" min="5" style="1" width="22"/>
    <col collapsed="false" customWidth="true" hidden="false" outlineLevel="0" max="6" min="6" style="1" width="18"/>
  </cols>
  <sheetData>
    <row r="1" customFormat="false" ht="17.25" hidden="false" customHeight="true" outlineLevel="0" collapsed="false">
      <c r="A1" s="18" t="s">
        <v>368</v>
      </c>
    </row>
    <row r="2" customFormat="false" ht="15" hidden="false" customHeight="true" outlineLevel="0" collapsed="false">
      <c r="A2" s="1" t="s">
        <v>369</v>
      </c>
    </row>
    <row r="4" customFormat="false" ht="15" hidden="false" customHeight="true" outlineLevel="0" collapsed="false">
      <c r="A4" s="21" t="s">
        <v>139</v>
      </c>
      <c r="B4" s="21" t="s">
        <v>3</v>
      </c>
      <c r="C4" s="21" t="s">
        <v>370</v>
      </c>
      <c r="D4" s="21" t="s">
        <v>371</v>
      </c>
      <c r="E4" s="21" t="s">
        <v>372</v>
      </c>
      <c r="F4" s="21" t="s">
        <v>373</v>
      </c>
    </row>
    <row r="5" customFormat="false" ht="45" hidden="false" customHeight="true" outlineLevel="0" collapsed="false">
      <c r="A5" s="22" t="s">
        <v>11</v>
      </c>
      <c r="B5" s="22" t="s">
        <v>13</v>
      </c>
      <c r="C5" s="22" t="n">
        <v>1</v>
      </c>
      <c r="D5" s="22" t="s">
        <v>374</v>
      </c>
      <c r="E5" s="22" t="s">
        <v>375</v>
      </c>
      <c r="F5" s="22" t="s">
        <v>376</v>
      </c>
    </row>
    <row r="6" customFormat="false" ht="45" hidden="false" customHeight="true" outlineLevel="0" collapsed="false">
      <c r="A6" s="22" t="s">
        <v>11</v>
      </c>
      <c r="B6" s="22" t="s">
        <v>13</v>
      </c>
      <c r="C6" s="22" t="n">
        <v>2</v>
      </c>
      <c r="D6" s="22" t="s">
        <v>377</v>
      </c>
      <c r="E6" s="22" t="s">
        <v>378</v>
      </c>
      <c r="F6" s="22" t="s">
        <v>187</v>
      </c>
    </row>
    <row r="7" customFormat="false" ht="45" hidden="false" customHeight="true" outlineLevel="0" collapsed="false">
      <c r="A7" s="22" t="s">
        <v>11</v>
      </c>
      <c r="B7" s="22" t="s">
        <v>13</v>
      </c>
      <c r="C7" s="22" t="n">
        <v>3</v>
      </c>
      <c r="D7" s="22" t="s">
        <v>379</v>
      </c>
      <c r="E7" s="22" t="s">
        <v>378</v>
      </c>
      <c r="F7" s="22" t="s">
        <v>376</v>
      </c>
    </row>
    <row r="8" customFormat="false" ht="45" hidden="false" customHeight="true" outlineLevel="0" collapsed="false">
      <c r="A8" s="22" t="s">
        <v>11</v>
      </c>
      <c r="B8" s="22" t="s">
        <v>13</v>
      </c>
      <c r="C8" s="22" t="n">
        <v>4</v>
      </c>
      <c r="D8" s="22" t="s">
        <v>380</v>
      </c>
      <c r="E8" s="22" t="s">
        <v>378</v>
      </c>
      <c r="F8" s="22" t="s">
        <v>376</v>
      </c>
    </row>
    <row r="9" customFormat="false" ht="45" hidden="false" customHeight="true" outlineLevel="0" collapsed="false">
      <c r="A9" s="22" t="s">
        <v>18</v>
      </c>
      <c r="B9" s="22" t="s">
        <v>20</v>
      </c>
      <c r="C9" s="22" t="n">
        <v>1</v>
      </c>
      <c r="D9" s="22" t="s">
        <v>381</v>
      </c>
      <c r="E9" s="22" t="s">
        <v>375</v>
      </c>
      <c r="F9" s="22"/>
    </row>
    <row r="10" customFormat="false" ht="45" hidden="false" customHeight="true" outlineLevel="0" collapsed="false">
      <c r="A10" s="22" t="s">
        <v>18</v>
      </c>
      <c r="B10" s="22" t="s">
        <v>20</v>
      </c>
      <c r="C10" s="22" t="n">
        <v>2</v>
      </c>
      <c r="D10" s="22" t="s">
        <v>382</v>
      </c>
      <c r="E10" s="22" t="s">
        <v>378</v>
      </c>
      <c r="F10" s="22" t="s">
        <v>376</v>
      </c>
    </row>
    <row r="11" customFormat="false" ht="45" hidden="false" customHeight="true" outlineLevel="0" collapsed="false">
      <c r="A11" s="22" t="s">
        <v>18</v>
      </c>
      <c r="B11" s="22" t="s">
        <v>20</v>
      </c>
      <c r="C11" s="22" t="n">
        <v>3</v>
      </c>
      <c r="D11" s="22" t="s">
        <v>383</v>
      </c>
      <c r="E11" s="22" t="s">
        <v>384</v>
      </c>
      <c r="F11" s="22"/>
    </row>
    <row r="12" customFormat="false" ht="45" hidden="false" customHeight="true" outlineLevel="0" collapsed="false">
      <c r="A12" s="22" t="s">
        <v>18</v>
      </c>
      <c r="B12" s="22" t="s">
        <v>20</v>
      </c>
      <c r="C12" s="22" t="n">
        <v>4</v>
      </c>
      <c r="D12" s="22" t="s">
        <v>385</v>
      </c>
      <c r="E12" s="22" t="s">
        <v>378</v>
      </c>
      <c r="F12" s="22" t="s">
        <v>376</v>
      </c>
    </row>
    <row r="13" customFormat="false" ht="45" hidden="false" customHeight="true" outlineLevel="0" collapsed="false">
      <c r="A13" s="22" t="s">
        <v>18</v>
      </c>
      <c r="B13" s="22" t="s">
        <v>20</v>
      </c>
      <c r="C13" s="22" t="n">
        <v>5</v>
      </c>
      <c r="D13" s="22" t="s">
        <v>386</v>
      </c>
      <c r="E13" s="22" t="s">
        <v>378</v>
      </c>
      <c r="F13" s="22"/>
    </row>
    <row r="14" customFormat="false" ht="45" hidden="false" customHeight="true" outlineLevel="0" collapsed="false">
      <c r="A14" s="22" t="s">
        <v>18</v>
      </c>
      <c r="B14" s="22" t="s">
        <v>20</v>
      </c>
      <c r="C14" s="22" t="n">
        <v>6</v>
      </c>
      <c r="D14" s="22" t="s">
        <v>387</v>
      </c>
      <c r="E14" s="22" t="s">
        <v>384</v>
      </c>
      <c r="F14" s="22" t="s">
        <v>388</v>
      </c>
    </row>
    <row r="15" customFormat="false" ht="45" hidden="false" customHeight="true" outlineLevel="0" collapsed="false">
      <c r="A15" s="22" t="s">
        <v>18</v>
      </c>
      <c r="B15" s="22" t="s">
        <v>20</v>
      </c>
      <c r="C15" s="22" t="n">
        <v>7</v>
      </c>
      <c r="D15" s="22" t="s">
        <v>389</v>
      </c>
      <c r="E15" s="22" t="s">
        <v>378</v>
      </c>
      <c r="F15" s="22" t="s">
        <v>376</v>
      </c>
    </row>
    <row r="16" customFormat="false" ht="45" hidden="false" customHeight="true" outlineLevel="0" collapsed="false">
      <c r="A16" s="22" t="s">
        <v>22</v>
      </c>
      <c r="B16" s="22" t="s">
        <v>24</v>
      </c>
      <c r="C16" s="22" t="n">
        <v>1</v>
      </c>
      <c r="D16" s="22" t="s">
        <v>390</v>
      </c>
      <c r="E16" s="22" t="s">
        <v>375</v>
      </c>
      <c r="F16" s="22" t="s">
        <v>195</v>
      </c>
    </row>
    <row r="17" customFormat="false" ht="45" hidden="false" customHeight="true" outlineLevel="0" collapsed="false">
      <c r="A17" s="22" t="s">
        <v>22</v>
      </c>
      <c r="B17" s="22" t="s">
        <v>24</v>
      </c>
      <c r="C17" s="22" t="n">
        <v>2</v>
      </c>
      <c r="D17" s="26" t="s">
        <v>391</v>
      </c>
      <c r="E17" s="22" t="s">
        <v>384</v>
      </c>
      <c r="F17" s="22" t="s">
        <v>392</v>
      </c>
    </row>
    <row r="18" customFormat="false" ht="45" hidden="false" customHeight="true" outlineLevel="0" collapsed="false">
      <c r="A18" s="22" t="s">
        <v>22</v>
      </c>
      <c r="B18" s="22" t="s">
        <v>24</v>
      </c>
      <c r="C18" s="22" t="n">
        <v>3</v>
      </c>
      <c r="D18" s="22" t="s">
        <v>393</v>
      </c>
      <c r="E18" s="22" t="s">
        <v>378</v>
      </c>
      <c r="F18" s="22" t="s">
        <v>394</v>
      </c>
    </row>
    <row r="19" customFormat="false" ht="45" hidden="false" customHeight="true" outlineLevel="0" collapsed="false">
      <c r="A19" s="22" t="s">
        <v>22</v>
      </c>
      <c r="B19" s="22" t="s">
        <v>24</v>
      </c>
      <c r="C19" s="22" t="n">
        <v>4</v>
      </c>
      <c r="D19" s="22" t="s">
        <v>395</v>
      </c>
      <c r="E19" s="22" t="s">
        <v>396</v>
      </c>
      <c r="F19" s="22" t="s">
        <v>397</v>
      </c>
    </row>
    <row r="20" customFormat="false" ht="45" hidden="false" customHeight="true" outlineLevel="0" collapsed="false">
      <c r="A20" s="22" t="s">
        <v>26</v>
      </c>
      <c r="B20" s="22" t="s">
        <v>28</v>
      </c>
      <c r="C20" s="22" t="n">
        <v>1</v>
      </c>
      <c r="D20" s="22" t="s">
        <v>398</v>
      </c>
      <c r="E20" s="22" t="s">
        <v>399</v>
      </c>
      <c r="F20" s="22" t="s">
        <v>400</v>
      </c>
    </row>
    <row r="21" customFormat="false" ht="45" hidden="false" customHeight="true" outlineLevel="0" collapsed="false">
      <c r="A21" s="22" t="s">
        <v>26</v>
      </c>
      <c r="B21" s="22" t="s">
        <v>28</v>
      </c>
      <c r="C21" s="22" t="n">
        <v>2</v>
      </c>
      <c r="D21" s="22" t="s">
        <v>401</v>
      </c>
      <c r="E21" s="22" t="s">
        <v>399</v>
      </c>
      <c r="F21" s="22" t="s">
        <v>402</v>
      </c>
    </row>
    <row r="22" customFormat="false" ht="45" hidden="false" customHeight="true" outlineLevel="0" collapsed="false">
      <c r="A22" s="22" t="s">
        <v>26</v>
      </c>
      <c r="B22" s="22" t="s">
        <v>28</v>
      </c>
      <c r="C22" s="22" t="n">
        <v>3</v>
      </c>
      <c r="D22" s="22" t="s">
        <v>403</v>
      </c>
      <c r="E22" s="22" t="s">
        <v>399</v>
      </c>
      <c r="F22" s="22" t="s">
        <v>404</v>
      </c>
    </row>
    <row r="23" customFormat="false" ht="45" hidden="false" customHeight="true" outlineLevel="0" collapsed="false">
      <c r="A23" s="22" t="s">
        <v>26</v>
      </c>
      <c r="B23" s="22" t="s">
        <v>28</v>
      </c>
      <c r="C23" s="22" t="n">
        <v>4</v>
      </c>
      <c r="D23" s="26" t="s">
        <v>405</v>
      </c>
      <c r="E23" s="22" t="s">
        <v>399</v>
      </c>
      <c r="F23" s="22" t="s">
        <v>404</v>
      </c>
    </row>
    <row r="24" customFormat="false" ht="45" hidden="false" customHeight="true" outlineLevel="0" collapsed="false">
      <c r="A24" s="22" t="s">
        <v>26</v>
      </c>
      <c r="B24" s="22" t="s">
        <v>28</v>
      </c>
      <c r="C24" s="22" t="n">
        <v>5</v>
      </c>
      <c r="D24" s="22" t="s">
        <v>406</v>
      </c>
      <c r="E24" s="22" t="s">
        <v>399</v>
      </c>
      <c r="F24" s="22" t="s">
        <v>407</v>
      </c>
    </row>
    <row r="25" customFormat="false" ht="45" hidden="false" customHeight="true" outlineLevel="0" collapsed="false">
      <c r="A25" s="22" t="s">
        <v>26</v>
      </c>
      <c r="B25" s="22" t="s">
        <v>28</v>
      </c>
      <c r="C25" s="22" t="n">
        <v>6</v>
      </c>
      <c r="D25" s="26" t="s">
        <v>408</v>
      </c>
      <c r="E25" s="22" t="s">
        <v>399</v>
      </c>
      <c r="F25" s="22" t="s">
        <v>165</v>
      </c>
    </row>
    <row r="26" customFormat="false" ht="45" hidden="false" customHeight="true" outlineLevel="0" collapsed="false">
      <c r="A26" s="22" t="s">
        <v>30</v>
      </c>
      <c r="B26" s="22" t="s">
        <v>32</v>
      </c>
      <c r="C26" s="22" t="n">
        <v>1</v>
      </c>
      <c r="D26" s="22" t="s">
        <v>409</v>
      </c>
      <c r="E26" s="22" t="s">
        <v>378</v>
      </c>
      <c r="F26" s="22" t="s">
        <v>376</v>
      </c>
    </row>
    <row r="27" customFormat="false" ht="45" hidden="false" customHeight="true" outlineLevel="0" collapsed="false">
      <c r="A27" s="22" t="s">
        <v>30</v>
      </c>
      <c r="B27" s="22" t="s">
        <v>32</v>
      </c>
      <c r="C27" s="22" t="n">
        <v>2</v>
      </c>
      <c r="D27" s="22" t="s">
        <v>410</v>
      </c>
      <c r="E27" s="22" t="s">
        <v>378</v>
      </c>
      <c r="F27" s="22" t="s">
        <v>376</v>
      </c>
    </row>
    <row r="28" customFormat="false" ht="45" hidden="false" customHeight="true" outlineLevel="0" collapsed="false">
      <c r="A28" s="22" t="s">
        <v>30</v>
      </c>
      <c r="B28" s="22" t="s">
        <v>32</v>
      </c>
      <c r="C28" s="22" t="n">
        <v>3</v>
      </c>
      <c r="D28" s="22" t="s">
        <v>411</v>
      </c>
      <c r="E28" s="22" t="s">
        <v>378</v>
      </c>
      <c r="F28" s="22" t="s">
        <v>392</v>
      </c>
    </row>
    <row r="29" customFormat="false" ht="45" hidden="false" customHeight="true" outlineLevel="0" collapsed="false">
      <c r="A29" s="22" t="s">
        <v>35</v>
      </c>
      <c r="B29" s="22" t="s">
        <v>37</v>
      </c>
      <c r="C29" s="22" t="n">
        <v>1</v>
      </c>
      <c r="D29" s="22" t="s">
        <v>412</v>
      </c>
      <c r="E29" s="22" t="s">
        <v>375</v>
      </c>
      <c r="F29" s="22" t="s">
        <v>195</v>
      </c>
    </row>
    <row r="30" customFormat="false" ht="45" hidden="false" customHeight="true" outlineLevel="0" collapsed="false">
      <c r="A30" s="22" t="s">
        <v>35</v>
      </c>
      <c r="B30" s="22" t="s">
        <v>37</v>
      </c>
      <c r="C30" s="22" t="n">
        <v>2</v>
      </c>
      <c r="D30" s="22" t="s">
        <v>413</v>
      </c>
      <c r="E30" s="22" t="s">
        <v>378</v>
      </c>
      <c r="F30" s="22" t="s">
        <v>187</v>
      </c>
    </row>
    <row r="31" customFormat="false" ht="45" hidden="false" customHeight="true" outlineLevel="0" collapsed="false">
      <c r="A31" s="22" t="s">
        <v>39</v>
      </c>
      <c r="B31" s="22" t="s">
        <v>41</v>
      </c>
      <c r="C31" s="22" t="n">
        <v>1</v>
      </c>
      <c r="D31" s="22" t="s">
        <v>414</v>
      </c>
      <c r="E31" s="22" t="s">
        <v>375</v>
      </c>
      <c r="F31" s="22"/>
    </row>
    <row r="32" customFormat="false" ht="45" hidden="false" customHeight="true" outlineLevel="0" collapsed="false">
      <c r="A32" s="22" t="s">
        <v>39</v>
      </c>
      <c r="B32" s="22" t="s">
        <v>41</v>
      </c>
      <c r="C32" s="22" t="n">
        <v>2</v>
      </c>
      <c r="D32" s="26" t="s">
        <v>415</v>
      </c>
      <c r="E32" s="22" t="s">
        <v>384</v>
      </c>
      <c r="F32" s="22"/>
    </row>
    <row r="33" customFormat="false" ht="45" hidden="false" customHeight="true" outlineLevel="0" collapsed="false">
      <c r="A33" s="22" t="s">
        <v>39</v>
      </c>
      <c r="B33" s="22" t="s">
        <v>41</v>
      </c>
      <c r="C33" s="22" t="n">
        <v>3</v>
      </c>
      <c r="D33" s="22" t="s">
        <v>416</v>
      </c>
      <c r="E33" s="22" t="s">
        <v>384</v>
      </c>
      <c r="F33" s="22"/>
    </row>
    <row r="34" customFormat="false" ht="45" hidden="false" customHeight="true" outlineLevel="0" collapsed="false">
      <c r="A34" s="22" t="s">
        <v>43</v>
      </c>
      <c r="B34" s="22" t="s">
        <v>45</v>
      </c>
      <c r="C34" s="22" t="n">
        <v>1</v>
      </c>
      <c r="D34" s="22" t="s">
        <v>417</v>
      </c>
      <c r="E34" s="22" t="s">
        <v>375</v>
      </c>
      <c r="F34" s="22"/>
    </row>
    <row r="35" customFormat="false" ht="45" hidden="false" customHeight="true" outlineLevel="0" collapsed="false">
      <c r="A35" s="22" t="s">
        <v>43</v>
      </c>
      <c r="B35" s="22" t="s">
        <v>45</v>
      </c>
      <c r="C35" s="22" t="n">
        <v>2</v>
      </c>
      <c r="D35" s="22" t="s">
        <v>418</v>
      </c>
      <c r="E35" s="22" t="s">
        <v>378</v>
      </c>
      <c r="F35" s="22" t="s">
        <v>392</v>
      </c>
    </row>
    <row r="36" customFormat="false" ht="45" hidden="false" customHeight="true" outlineLevel="0" collapsed="false">
      <c r="A36" s="22" t="s">
        <v>43</v>
      </c>
      <c r="B36" s="22" t="s">
        <v>45</v>
      </c>
      <c r="C36" s="22" t="n">
        <v>3</v>
      </c>
      <c r="D36" s="22" t="s">
        <v>419</v>
      </c>
      <c r="E36" s="22" t="s">
        <v>378</v>
      </c>
      <c r="F36" s="22" t="s">
        <v>376</v>
      </c>
    </row>
    <row r="37" customFormat="false" ht="45" hidden="false" customHeight="true" outlineLevel="0" collapsed="false">
      <c r="A37" s="22" t="s">
        <v>48</v>
      </c>
      <c r="B37" s="22" t="s">
        <v>50</v>
      </c>
      <c r="C37" s="22" t="n">
        <v>1</v>
      </c>
      <c r="D37" s="22" t="s">
        <v>420</v>
      </c>
      <c r="E37" s="22" t="s">
        <v>375</v>
      </c>
      <c r="F37" s="22"/>
    </row>
    <row r="38" customFormat="false" ht="45" hidden="false" customHeight="true" outlineLevel="0" collapsed="false">
      <c r="A38" s="22" t="s">
        <v>48</v>
      </c>
      <c r="B38" s="22" t="s">
        <v>50</v>
      </c>
      <c r="C38" s="22" t="n">
        <v>2</v>
      </c>
      <c r="D38" s="22" t="s">
        <v>421</v>
      </c>
      <c r="E38" s="22" t="s">
        <v>384</v>
      </c>
      <c r="F38" s="22"/>
    </row>
    <row r="39" customFormat="false" ht="45" hidden="false" customHeight="true" outlineLevel="0" collapsed="false">
      <c r="A39" s="22" t="s">
        <v>52</v>
      </c>
      <c r="B39" s="22" t="s">
        <v>54</v>
      </c>
      <c r="C39" s="22" t="n">
        <v>1</v>
      </c>
      <c r="D39" s="22" t="s">
        <v>422</v>
      </c>
      <c r="E39" s="22" t="s">
        <v>375</v>
      </c>
      <c r="F39" s="22"/>
    </row>
    <row r="40" customFormat="false" ht="45" hidden="false" customHeight="true" outlineLevel="0" collapsed="false">
      <c r="A40" s="22" t="s">
        <v>52</v>
      </c>
      <c r="B40" s="22" t="s">
        <v>54</v>
      </c>
      <c r="C40" s="22" t="n">
        <v>2</v>
      </c>
      <c r="D40" s="26" t="s">
        <v>423</v>
      </c>
      <c r="E40" s="22" t="s">
        <v>384</v>
      </c>
      <c r="F40" s="22" t="s">
        <v>388</v>
      </c>
    </row>
    <row r="41" customFormat="false" ht="45" hidden="false" customHeight="true" outlineLevel="0" collapsed="false">
      <c r="A41" s="22" t="s">
        <v>58</v>
      </c>
      <c r="B41" s="22" t="s">
        <v>60</v>
      </c>
      <c r="C41" s="22" t="n">
        <v>1</v>
      </c>
      <c r="D41" s="22" t="s">
        <v>424</v>
      </c>
      <c r="E41" s="22" t="s">
        <v>425</v>
      </c>
      <c r="F41" s="22" t="s">
        <v>195</v>
      </c>
    </row>
    <row r="42" customFormat="false" ht="45" hidden="false" customHeight="true" outlineLevel="0" collapsed="false">
      <c r="A42" s="22" t="s">
        <v>58</v>
      </c>
      <c r="B42" s="22" t="s">
        <v>60</v>
      </c>
      <c r="C42" s="22" t="n">
        <v>2</v>
      </c>
      <c r="D42" s="22" t="s">
        <v>426</v>
      </c>
      <c r="E42" s="22" t="s">
        <v>396</v>
      </c>
      <c r="F42" s="22" t="s">
        <v>427</v>
      </c>
    </row>
    <row r="43" customFormat="false" ht="45" hidden="false" customHeight="true" outlineLevel="0" collapsed="false">
      <c r="A43" s="22" t="s">
        <v>58</v>
      </c>
      <c r="B43" s="22" t="s">
        <v>60</v>
      </c>
      <c r="C43" s="22" t="n">
        <v>3</v>
      </c>
      <c r="D43" s="22" t="s">
        <v>428</v>
      </c>
      <c r="E43" s="22" t="s">
        <v>378</v>
      </c>
      <c r="F43" s="22" t="s">
        <v>429</v>
      </c>
    </row>
    <row r="44" customFormat="false" ht="45" hidden="false" customHeight="true" outlineLevel="0" collapsed="false">
      <c r="A44" s="22" t="s">
        <v>62</v>
      </c>
      <c r="B44" s="22" t="s">
        <v>64</v>
      </c>
      <c r="C44" s="22" t="n">
        <v>1</v>
      </c>
      <c r="D44" s="22" t="s">
        <v>430</v>
      </c>
      <c r="E44" s="22" t="s">
        <v>375</v>
      </c>
      <c r="F44" s="22" t="s">
        <v>376</v>
      </c>
    </row>
    <row r="45" customFormat="false" ht="45" hidden="false" customHeight="true" outlineLevel="0" collapsed="false">
      <c r="A45" s="22" t="s">
        <v>62</v>
      </c>
      <c r="B45" s="22" t="s">
        <v>64</v>
      </c>
      <c r="C45" s="22" t="n">
        <v>2</v>
      </c>
      <c r="D45" s="22" t="s">
        <v>431</v>
      </c>
      <c r="E45" s="22" t="s">
        <v>378</v>
      </c>
      <c r="F45" s="22" t="s">
        <v>376</v>
      </c>
    </row>
    <row r="46" customFormat="false" ht="45" hidden="false" customHeight="true" outlineLevel="0" collapsed="false">
      <c r="A46" s="22" t="s">
        <v>66</v>
      </c>
      <c r="B46" s="22" t="s">
        <v>68</v>
      </c>
      <c r="C46" s="22" t="n">
        <v>1</v>
      </c>
      <c r="D46" s="22" t="s">
        <v>432</v>
      </c>
      <c r="E46" s="22" t="s">
        <v>375</v>
      </c>
      <c r="F46" s="22" t="s">
        <v>195</v>
      </c>
    </row>
    <row r="47" customFormat="false" ht="45" hidden="false" customHeight="true" outlineLevel="0" collapsed="false">
      <c r="A47" s="22" t="s">
        <v>66</v>
      </c>
      <c r="B47" s="22" t="s">
        <v>68</v>
      </c>
      <c r="C47" s="22" t="n">
        <v>2</v>
      </c>
      <c r="D47" s="22" t="s">
        <v>433</v>
      </c>
      <c r="E47" s="22" t="s">
        <v>378</v>
      </c>
      <c r="F47" s="22"/>
    </row>
    <row r="48" customFormat="false" ht="45" hidden="false" customHeight="true" outlineLevel="0" collapsed="false">
      <c r="A48" s="22" t="s">
        <v>70</v>
      </c>
      <c r="B48" s="22" t="s">
        <v>72</v>
      </c>
      <c r="C48" s="22" t="n">
        <v>1</v>
      </c>
      <c r="D48" s="22" t="s">
        <v>434</v>
      </c>
      <c r="E48" s="22" t="s">
        <v>375</v>
      </c>
      <c r="F48" s="22"/>
    </row>
    <row r="49" customFormat="false" ht="45" hidden="false" customHeight="true" outlineLevel="0" collapsed="false">
      <c r="A49" s="22" t="s">
        <v>70</v>
      </c>
      <c r="B49" s="22" t="s">
        <v>72</v>
      </c>
      <c r="C49" s="22" t="n">
        <v>2</v>
      </c>
      <c r="D49" s="22" t="s">
        <v>435</v>
      </c>
      <c r="E49" s="22" t="s">
        <v>378</v>
      </c>
      <c r="F49" s="22"/>
    </row>
    <row r="50" customFormat="false" ht="45" hidden="false" customHeight="true" outlineLevel="0" collapsed="false">
      <c r="A50" s="22" t="s">
        <v>70</v>
      </c>
      <c r="B50" s="22" t="s">
        <v>72</v>
      </c>
      <c r="C50" s="22" t="n">
        <v>3</v>
      </c>
      <c r="D50" s="22" t="s">
        <v>436</v>
      </c>
      <c r="E50" s="22" t="s">
        <v>384</v>
      </c>
      <c r="F50" s="22"/>
    </row>
    <row r="51" customFormat="false" ht="45" hidden="false" customHeight="true" outlineLevel="0" collapsed="false">
      <c r="A51" s="22" t="s">
        <v>75</v>
      </c>
      <c r="B51" s="22" t="s">
        <v>77</v>
      </c>
      <c r="C51" s="22" t="n">
        <v>1</v>
      </c>
      <c r="D51" s="22" t="s">
        <v>437</v>
      </c>
      <c r="E51" s="22" t="s">
        <v>378</v>
      </c>
      <c r="F51" s="22" t="s">
        <v>388</v>
      </c>
    </row>
    <row r="52" customFormat="false" ht="45" hidden="false" customHeight="true" outlineLevel="0" collapsed="false">
      <c r="A52" s="22" t="s">
        <v>75</v>
      </c>
      <c r="B52" s="22" t="s">
        <v>77</v>
      </c>
      <c r="C52" s="22" t="n">
        <v>2</v>
      </c>
      <c r="D52" s="22" t="s">
        <v>438</v>
      </c>
      <c r="E52" s="22" t="s">
        <v>384</v>
      </c>
      <c r="F52" s="22"/>
    </row>
    <row r="53" customFormat="false" ht="45" hidden="false" customHeight="true" outlineLevel="0" collapsed="false">
      <c r="A53" s="22" t="s">
        <v>80</v>
      </c>
      <c r="B53" s="22" t="s">
        <v>82</v>
      </c>
      <c r="C53" s="22" t="n">
        <v>1</v>
      </c>
      <c r="D53" s="22" t="s">
        <v>439</v>
      </c>
      <c r="E53" s="22" t="s">
        <v>378</v>
      </c>
      <c r="F53" s="22"/>
    </row>
    <row r="54" customFormat="false" ht="45" hidden="false" customHeight="true" outlineLevel="0" collapsed="false">
      <c r="A54" s="22" t="s">
        <v>84</v>
      </c>
      <c r="B54" s="22" t="s">
        <v>86</v>
      </c>
      <c r="C54" s="22" t="n">
        <v>1</v>
      </c>
      <c r="D54" s="22" t="s">
        <v>440</v>
      </c>
      <c r="E54" s="22"/>
      <c r="F54" s="22"/>
    </row>
    <row r="55" customFormat="false" ht="45" hidden="false" customHeight="true" outlineLevel="0" collapsed="false">
      <c r="A55" s="22" t="s">
        <v>89</v>
      </c>
      <c r="B55" s="22" t="s">
        <v>91</v>
      </c>
      <c r="C55" s="22" t="n">
        <v>1</v>
      </c>
      <c r="D55" s="22" t="s">
        <v>440</v>
      </c>
      <c r="E55" s="22"/>
      <c r="F55" s="22"/>
    </row>
    <row r="56" customFormat="false" ht="45" hidden="false" customHeight="true" outlineLevel="0" collapsed="false">
      <c r="A56" s="22" t="s">
        <v>93</v>
      </c>
      <c r="B56" s="22" t="s">
        <v>95</v>
      </c>
      <c r="C56" s="22" t="n">
        <v>1</v>
      </c>
      <c r="D56" s="22" t="s">
        <v>440</v>
      </c>
      <c r="E56" s="22"/>
      <c r="F56" s="22"/>
    </row>
    <row r="57" customFormat="false" ht="45" hidden="false" customHeight="true" outlineLevel="0" collapsed="false">
      <c r="A57" s="22" t="s">
        <v>97</v>
      </c>
      <c r="B57" s="22" t="s">
        <v>99</v>
      </c>
      <c r="C57" s="22" t="n">
        <v>1</v>
      </c>
      <c r="D57" s="22" t="s">
        <v>440</v>
      </c>
      <c r="E57" s="22"/>
      <c r="F57" s="2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42"/>
    <col collapsed="false" customWidth="true" hidden="false" outlineLevel="0" max="2" min="2" style="1" width="22"/>
    <col collapsed="false" customWidth="true" hidden="false" outlineLevel="0" max="3" min="3" style="1" width="70"/>
    <col collapsed="false" customWidth="true" hidden="false" outlineLevel="0" max="4" min="4" style="1" width="30"/>
    <col collapsed="false" customWidth="true" hidden="false" outlineLevel="0" max="5" min="5" style="1" width="14"/>
    <col collapsed="false" customWidth="true" hidden="false" outlineLevel="0" max="9" min="6" style="1" width="11"/>
    <col collapsed="false" customWidth="true" hidden="false" outlineLevel="0" max="10" min="10" style="1" width="13"/>
    <col collapsed="false" customWidth="true" hidden="false" outlineLevel="0" max="12" min="11" style="1" width="12"/>
  </cols>
  <sheetData>
    <row r="1" customFormat="false" ht="17.25" hidden="false" customHeight="true" outlineLevel="0" collapsed="false">
      <c r="A1" s="18" t="s">
        <v>441</v>
      </c>
    </row>
    <row r="2" customFormat="false" ht="15" hidden="false" customHeight="true" outlineLevel="0" collapsed="false">
      <c r="A2" s="1" t="s">
        <v>442</v>
      </c>
    </row>
    <row r="4" customFormat="false" ht="15" hidden="false" customHeight="true" outlineLevel="0" collapsed="false">
      <c r="A4" s="21" t="s">
        <v>443</v>
      </c>
      <c r="B4" s="21" t="s">
        <v>444</v>
      </c>
      <c r="C4" s="21" t="s">
        <v>445</v>
      </c>
      <c r="D4" s="21" t="s">
        <v>4</v>
      </c>
    </row>
    <row r="5" customFormat="false" ht="30" hidden="false" customHeight="true" outlineLevel="0" collapsed="false">
      <c r="A5" s="22" t="s">
        <v>446</v>
      </c>
      <c r="B5" s="27" t="s">
        <v>447</v>
      </c>
      <c r="C5" s="22" t="s">
        <v>448</v>
      </c>
      <c r="D5" s="22" t="s">
        <v>449</v>
      </c>
    </row>
    <row r="6" customFormat="false" ht="30" hidden="false" customHeight="true" outlineLevel="0" collapsed="false">
      <c r="A6" s="22" t="s">
        <v>450</v>
      </c>
      <c r="B6" s="27" t="s">
        <v>451</v>
      </c>
      <c r="C6" s="22" t="s">
        <v>452</v>
      </c>
      <c r="D6" s="22" t="s">
        <v>453</v>
      </c>
    </row>
    <row r="7" customFormat="false" ht="30" hidden="false" customHeight="true" outlineLevel="0" collapsed="false">
      <c r="A7" s="22" t="s">
        <v>454</v>
      </c>
      <c r="B7" s="27" t="n">
        <v>51</v>
      </c>
      <c r="C7" s="22" t="s">
        <v>452</v>
      </c>
      <c r="D7" s="22" t="s">
        <v>449</v>
      </c>
    </row>
    <row r="8" customFormat="false" ht="30" hidden="false" customHeight="true" outlineLevel="0" collapsed="false">
      <c r="A8" s="22" t="s">
        <v>455</v>
      </c>
      <c r="B8" s="27" t="n">
        <v>10</v>
      </c>
      <c r="C8" s="22" t="s">
        <v>456</v>
      </c>
      <c r="D8" s="22" t="s">
        <v>449</v>
      </c>
    </row>
    <row r="9" customFormat="false" ht="30" hidden="false" customHeight="true" outlineLevel="0" collapsed="false">
      <c r="A9" s="22" t="s">
        <v>457</v>
      </c>
      <c r="B9" s="27" t="n">
        <v>45</v>
      </c>
      <c r="C9" s="22" t="s">
        <v>458</v>
      </c>
      <c r="D9" s="22" t="s">
        <v>449</v>
      </c>
    </row>
    <row r="10" customFormat="false" ht="30" hidden="false" customHeight="true" outlineLevel="0" collapsed="false">
      <c r="A10" s="22" t="s">
        <v>459</v>
      </c>
      <c r="B10" s="27" t="n">
        <v>40</v>
      </c>
      <c r="C10" s="22" t="s">
        <v>458</v>
      </c>
      <c r="D10" s="22" t="s">
        <v>449</v>
      </c>
    </row>
    <row r="11" customFormat="false" ht="30" hidden="false" customHeight="true" outlineLevel="0" collapsed="false">
      <c r="A11" s="22" t="s">
        <v>460</v>
      </c>
      <c r="B11" s="27" t="n">
        <v>5</v>
      </c>
      <c r="C11" s="22" t="s">
        <v>458</v>
      </c>
      <c r="D11" s="22" t="s">
        <v>449</v>
      </c>
    </row>
    <row r="12" customFormat="false" ht="30" hidden="false" customHeight="true" outlineLevel="0" collapsed="false">
      <c r="A12" s="22" t="s">
        <v>461</v>
      </c>
      <c r="B12" s="27" t="s">
        <v>462</v>
      </c>
      <c r="C12" s="22" t="s">
        <v>463</v>
      </c>
      <c r="D12" s="22" t="s">
        <v>464</v>
      </c>
    </row>
    <row r="13" customFormat="false" ht="30" hidden="false" customHeight="true" outlineLevel="0" collapsed="false">
      <c r="A13" s="23" t="s">
        <v>465</v>
      </c>
      <c r="B13" s="27" t="n">
        <f aca="false">SUM(B8:B11)</f>
        <v>100</v>
      </c>
      <c r="C13" s="22" t="str">
        <f aca="false">IF(B13=100,"OK","Las dimensiones no suman 100")</f>
        <v>OK</v>
      </c>
      <c r="D13" s="22" t="s">
        <v>449</v>
      </c>
    </row>
    <row r="15" customFormat="false" ht="15" hidden="false" customHeight="true" outlineLevel="0" collapsed="false">
      <c r="A15" s="28" t="s">
        <v>466</v>
      </c>
    </row>
    <row r="16" customFormat="false" ht="27.75" hidden="false" customHeight="true" outlineLevel="0" collapsed="false">
      <c r="A16" s="21" t="s">
        <v>467</v>
      </c>
      <c r="B16" s="21" t="s">
        <v>468</v>
      </c>
      <c r="C16" s="21" t="s">
        <v>469</v>
      </c>
      <c r="D16" s="21" t="s">
        <v>470</v>
      </c>
      <c r="E16" s="21" t="s">
        <v>471</v>
      </c>
      <c r="F16" s="21" t="s">
        <v>472</v>
      </c>
      <c r="G16" s="21" t="s">
        <v>473</v>
      </c>
      <c r="H16" s="21" t="s">
        <v>474</v>
      </c>
      <c r="I16" s="21" t="s">
        <v>475</v>
      </c>
      <c r="J16" s="21" t="s">
        <v>476</v>
      </c>
      <c r="K16" s="21" t="s">
        <v>477</v>
      </c>
      <c r="L16" s="21" t="s">
        <v>478</v>
      </c>
    </row>
    <row r="17" customFormat="false" ht="30" hidden="false" customHeight="true" outlineLevel="0" collapsed="false">
      <c r="A17" s="22" t="s">
        <v>479</v>
      </c>
      <c r="B17" s="27" t="n">
        <v>80</v>
      </c>
      <c r="C17" s="27" t="n">
        <v>80</v>
      </c>
      <c r="D17" s="27" t="n">
        <v>80</v>
      </c>
      <c r="E17" s="27" t="n">
        <v>100</v>
      </c>
      <c r="F17" s="22" t="n">
        <f aca="false">B17*$B$8/100</f>
        <v>8</v>
      </c>
      <c r="G17" s="22" t="n">
        <f aca="false">C17*$B$9/100</f>
        <v>36</v>
      </c>
      <c r="H17" s="22" t="n">
        <f aca="false">D17*$B$10/100</f>
        <v>32</v>
      </c>
      <c r="I17" s="22" t="n">
        <f aca="false">E17*$B$11/100</f>
        <v>5</v>
      </c>
      <c r="J17" s="22" t="n">
        <f aca="false">SUM(F17:I17)</f>
        <v>81</v>
      </c>
      <c r="K17" s="22" t="n">
        <f aca="false">ROUND(J17,0)</f>
        <v>81</v>
      </c>
      <c r="L17" s="22" t="str">
        <f aca="false">IF(K17&gt;=$B$7,"Aprueba","Reprueba")</f>
        <v>Aprueba</v>
      </c>
    </row>
    <row r="18" customFormat="false" ht="30" hidden="false" customHeight="true" outlineLevel="0" collapsed="false">
      <c r="A18" s="22" t="s">
        <v>480</v>
      </c>
      <c r="B18" s="27" t="n">
        <v>100</v>
      </c>
      <c r="C18" s="27" t="n">
        <v>50</v>
      </c>
      <c r="D18" s="27" t="n">
        <v>40</v>
      </c>
      <c r="E18" s="27" t="n">
        <v>40</v>
      </c>
      <c r="F18" s="22" t="n">
        <f aca="false">B18*$B$8/100</f>
        <v>10</v>
      </c>
      <c r="G18" s="22" t="n">
        <f aca="false">C18*$B$9/100</f>
        <v>22.5</v>
      </c>
      <c r="H18" s="22" t="n">
        <f aca="false">D18*$B$10/100</f>
        <v>16</v>
      </c>
      <c r="I18" s="22" t="n">
        <f aca="false">E18*$B$11/100</f>
        <v>2</v>
      </c>
      <c r="J18" s="22" t="n">
        <f aca="false">SUM(F18:I18)</f>
        <v>50.5</v>
      </c>
      <c r="K18" s="22" t="n">
        <f aca="false">ROUND(J18,0)</f>
        <v>51</v>
      </c>
      <c r="L18" s="22" t="str">
        <f aca="false">IF(K18&gt;=$B$7,"Aprueba","Reprueba")</f>
        <v>Aprueba</v>
      </c>
    </row>
    <row r="19" customFormat="false" ht="30" hidden="false" customHeight="true" outlineLevel="0" collapsed="false">
      <c r="A19" s="22" t="s">
        <v>481</v>
      </c>
      <c r="B19" s="27" t="n">
        <v>80</v>
      </c>
      <c r="C19" s="27" t="n">
        <v>52</v>
      </c>
      <c r="D19" s="27" t="n">
        <v>40</v>
      </c>
      <c r="E19" s="27" t="n">
        <v>60</v>
      </c>
      <c r="F19" s="22" t="n">
        <f aca="false">B19*$B$8/100</f>
        <v>8</v>
      </c>
      <c r="G19" s="22" t="n">
        <f aca="false">C19*$B$9/100</f>
        <v>23.4</v>
      </c>
      <c r="H19" s="22" t="n">
        <f aca="false">D19*$B$10/100</f>
        <v>16</v>
      </c>
      <c r="I19" s="22" t="n">
        <f aca="false">E19*$B$11/100</f>
        <v>3</v>
      </c>
      <c r="J19" s="22" t="n">
        <f aca="false">SUM(F19:I19)</f>
        <v>50.4</v>
      </c>
      <c r="K19" s="22" t="n">
        <f aca="false">ROUND(J19,0)</f>
        <v>50</v>
      </c>
      <c r="L19" s="22" t="str">
        <f aca="false">IF(K19&gt;=$B$7,"Aprueba","Reprueba")</f>
        <v>Reprueba</v>
      </c>
    </row>
    <row r="20" customFormat="false" ht="30" hidden="false" customHeight="true" outlineLevel="0" collapsed="false">
      <c r="A20" s="22" t="s">
        <v>482</v>
      </c>
      <c r="B20" s="27" t="n">
        <v>100</v>
      </c>
      <c r="C20" s="27" t="n">
        <v>100</v>
      </c>
      <c r="D20" s="27" t="n">
        <v>100</v>
      </c>
      <c r="E20" s="27" t="n">
        <v>100</v>
      </c>
      <c r="F20" s="22" t="n">
        <f aca="false">B20*$B$8/100</f>
        <v>10</v>
      </c>
      <c r="G20" s="22" t="n">
        <f aca="false">C20*$B$9/100</f>
        <v>45</v>
      </c>
      <c r="H20" s="22" t="n">
        <f aca="false">D20*$B$10/100</f>
        <v>40</v>
      </c>
      <c r="I20" s="22" t="n">
        <f aca="false">E20*$B$11/100</f>
        <v>5</v>
      </c>
      <c r="J20" s="22" t="n">
        <f aca="false">SUM(F20:I20)</f>
        <v>100</v>
      </c>
      <c r="K20" s="22" t="n">
        <f aca="false">ROUND(J20,0)</f>
        <v>100</v>
      </c>
      <c r="L20" s="22" t="str">
        <f aca="false">IF(K20&gt;=$B$7,"Aprueba","Reprueba")</f>
        <v>Aprueba</v>
      </c>
    </row>
    <row r="21" customFormat="false" ht="30" hidden="false" customHeight="true" outlineLevel="0" collapsed="false">
      <c r="A21" s="22" t="s">
        <v>483</v>
      </c>
      <c r="B21" s="27" t="n">
        <v>1</v>
      </c>
      <c r="C21" s="27" t="n">
        <v>1</v>
      </c>
      <c r="D21" s="27" t="n">
        <v>1</v>
      </c>
      <c r="E21" s="27" t="n">
        <v>1</v>
      </c>
      <c r="F21" s="22" t="n">
        <f aca="false">B21*$B$8/100</f>
        <v>0.1</v>
      </c>
      <c r="G21" s="22" t="n">
        <f aca="false">C21*$B$9/100</f>
        <v>0.45</v>
      </c>
      <c r="H21" s="22" t="n">
        <f aca="false">D21*$B$10/100</f>
        <v>0.4</v>
      </c>
      <c r="I21" s="22" t="n">
        <f aca="false">E21*$B$11/100</f>
        <v>0.05</v>
      </c>
      <c r="J21" s="22" t="n">
        <f aca="false">SUM(F21:I21)</f>
        <v>1</v>
      </c>
      <c r="K21" s="22" t="n">
        <f aca="false">ROUND(J21,0)</f>
        <v>1</v>
      </c>
      <c r="L21" s="22" t="str">
        <f aca="false">IF(K21&gt;=$B$7,"Aprueba","Reprueba")</f>
        <v>Reprueba</v>
      </c>
    </row>
    <row r="23" customFormat="false" ht="30" hidden="false" customHeight="true" outlineLevel="0" collapsed="false">
      <c r="A23" s="25" t="s">
        <v>484</v>
      </c>
      <c r="B23" s="25"/>
      <c r="C23" s="25"/>
      <c r="D23" s="25"/>
      <c r="E23" s="25"/>
      <c r="F23" s="25"/>
      <c r="G23" s="25"/>
      <c r="H23" s="25"/>
      <c r="I23" s="25"/>
      <c r="J23" s="25"/>
      <c r="K23" s="25"/>
      <c r="L23" s="25"/>
    </row>
    <row r="24" customFormat="false" ht="15" hidden="false" customHeight="true" outlineLevel="0" collapsed="false">
      <c r="A24" s="25"/>
      <c r="B24" s="25"/>
      <c r="C24" s="25"/>
      <c r="D24" s="25"/>
      <c r="E24" s="25"/>
      <c r="F24" s="25"/>
      <c r="G24" s="25"/>
      <c r="H24" s="25"/>
      <c r="I24" s="25"/>
      <c r="J24" s="25"/>
      <c r="K24" s="25"/>
      <c r="L24" s="25"/>
    </row>
  </sheetData>
  <mergeCells count="1">
    <mergeCell ref="A23:L2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5"/>
    <col collapsed="false" customWidth="true" hidden="false" outlineLevel="0" max="2" min="2" style="1" width="45"/>
    <col collapsed="false" customWidth="true" hidden="false" outlineLevel="0" max="3" min="3" style="1" width="22"/>
    <col collapsed="false" customWidth="true" hidden="false" outlineLevel="0" max="5" min="4" style="1" width="55"/>
  </cols>
  <sheetData>
    <row r="1" customFormat="false" ht="17.25" hidden="false" customHeight="true" outlineLevel="0" collapsed="false">
      <c r="A1" s="18" t="s">
        <v>485</v>
      </c>
    </row>
    <row r="3" customFormat="false" ht="15" hidden="false" customHeight="true" outlineLevel="0" collapsed="false">
      <c r="A3" s="21" t="s">
        <v>370</v>
      </c>
      <c r="B3" s="21" t="s">
        <v>486</v>
      </c>
      <c r="C3" s="21" t="s">
        <v>487</v>
      </c>
      <c r="D3" s="21" t="s">
        <v>488</v>
      </c>
      <c r="E3" s="21" t="s">
        <v>489</v>
      </c>
    </row>
    <row r="4" customFormat="false" ht="48" hidden="false" customHeight="true" outlineLevel="0" collapsed="false">
      <c r="A4" s="22" t="n">
        <v>1</v>
      </c>
      <c r="B4" s="22" t="s">
        <v>490</v>
      </c>
      <c r="C4" s="22" t="s">
        <v>491</v>
      </c>
      <c r="D4" s="22" t="s">
        <v>492</v>
      </c>
      <c r="E4" s="22" t="s">
        <v>493</v>
      </c>
    </row>
    <row r="5" customFormat="false" ht="48" hidden="false" customHeight="true" outlineLevel="0" collapsed="false">
      <c r="A5" s="22" t="n">
        <v>2</v>
      </c>
      <c r="B5" s="22" t="s">
        <v>494</v>
      </c>
      <c r="C5" s="22" t="s">
        <v>491</v>
      </c>
      <c r="D5" s="22" t="s">
        <v>495</v>
      </c>
      <c r="E5" s="22" t="s">
        <v>496</v>
      </c>
    </row>
    <row r="6" customFormat="false" ht="48" hidden="false" customHeight="true" outlineLevel="0" collapsed="false">
      <c r="A6" s="22" t="n">
        <v>3</v>
      </c>
      <c r="B6" s="22" t="s">
        <v>497</v>
      </c>
      <c r="C6" s="22" t="s">
        <v>498</v>
      </c>
      <c r="D6" s="22" t="s">
        <v>499</v>
      </c>
      <c r="E6" s="22" t="s">
        <v>500</v>
      </c>
    </row>
    <row r="7" customFormat="false" ht="48" hidden="false" customHeight="true" outlineLevel="0" collapsed="false">
      <c r="A7" s="22" t="n">
        <v>4</v>
      </c>
      <c r="B7" s="22" t="s">
        <v>501</v>
      </c>
      <c r="C7" s="22" t="s">
        <v>502</v>
      </c>
      <c r="D7" s="22" t="s">
        <v>503</v>
      </c>
      <c r="E7" s="22" t="s">
        <v>504</v>
      </c>
    </row>
    <row r="8" customFormat="false" ht="48" hidden="false" customHeight="true" outlineLevel="0" collapsed="false">
      <c r="A8" s="22" t="n">
        <v>5</v>
      </c>
      <c r="B8" s="22" t="s">
        <v>505</v>
      </c>
      <c r="C8" s="22" t="s">
        <v>506</v>
      </c>
      <c r="D8" s="22" t="s">
        <v>507</v>
      </c>
      <c r="E8" s="22" t="s">
        <v>508</v>
      </c>
    </row>
    <row r="9" customFormat="false" ht="48" hidden="false" customHeight="true" outlineLevel="0" collapsed="false">
      <c r="A9" s="22" t="n">
        <v>6</v>
      </c>
      <c r="B9" s="22" t="s">
        <v>509</v>
      </c>
      <c r="C9" s="22" t="s">
        <v>342</v>
      </c>
      <c r="D9" s="22" t="s">
        <v>510</v>
      </c>
      <c r="E9" s="22" t="s">
        <v>511</v>
      </c>
    </row>
    <row r="10" customFormat="false" ht="48" hidden="false" customHeight="true" outlineLevel="0" collapsed="false">
      <c r="A10" s="22" t="n">
        <v>7</v>
      </c>
      <c r="B10" s="22" t="s">
        <v>512</v>
      </c>
      <c r="C10" s="22" t="s">
        <v>513</v>
      </c>
      <c r="D10" s="22" t="s">
        <v>514</v>
      </c>
      <c r="E10" s="22" t="s">
        <v>515</v>
      </c>
    </row>
    <row r="11" customFormat="false" ht="48" hidden="false" customHeight="true" outlineLevel="0" collapsed="false">
      <c r="A11" s="22" t="n">
        <v>8</v>
      </c>
      <c r="B11" s="22" t="s">
        <v>516</v>
      </c>
      <c r="C11" s="22" t="s">
        <v>517</v>
      </c>
      <c r="D11" s="22" t="s">
        <v>518</v>
      </c>
      <c r="E11" s="22" t="s">
        <v>519</v>
      </c>
    </row>
    <row r="12" customFormat="false" ht="48" hidden="false" customHeight="true" outlineLevel="0" collapsed="false">
      <c r="A12" s="22" t="n">
        <v>9</v>
      </c>
      <c r="B12" s="22" t="s">
        <v>520</v>
      </c>
      <c r="C12" s="22" t="s">
        <v>521</v>
      </c>
      <c r="D12" s="22" t="s">
        <v>522</v>
      </c>
      <c r="E12" s="22" t="s">
        <v>523</v>
      </c>
    </row>
    <row r="13" customFormat="false" ht="48" hidden="false" customHeight="true" outlineLevel="0" collapsed="false">
      <c r="A13" s="22" t="n">
        <v>10</v>
      </c>
      <c r="B13" s="22" t="s">
        <v>524</v>
      </c>
      <c r="C13" s="22" t="s">
        <v>525</v>
      </c>
      <c r="D13" s="22" t="s">
        <v>526</v>
      </c>
      <c r="E13" s="22" t="s">
        <v>527</v>
      </c>
    </row>
    <row r="14" customFormat="false" ht="48" hidden="false" customHeight="true" outlineLevel="0" collapsed="false">
      <c r="A14" s="22" t="n">
        <v>11</v>
      </c>
      <c r="B14" s="22" t="s">
        <v>528</v>
      </c>
      <c r="C14" s="22" t="s">
        <v>529</v>
      </c>
      <c r="D14" s="22" t="s">
        <v>530</v>
      </c>
      <c r="E14" s="22" t="s">
        <v>531</v>
      </c>
    </row>
    <row r="15" customFormat="false" ht="48" hidden="false" customHeight="true" outlineLevel="0" collapsed="false">
      <c r="A15" s="22" t="n">
        <v>12</v>
      </c>
      <c r="B15" s="22" t="s">
        <v>532</v>
      </c>
      <c r="C15" s="22" t="s">
        <v>533</v>
      </c>
      <c r="D15" s="22" t="s">
        <v>534</v>
      </c>
      <c r="E15" s="22" t="s">
        <v>535</v>
      </c>
    </row>
    <row r="16" customFormat="false" ht="48" hidden="false" customHeight="true" outlineLevel="0" collapsed="false">
      <c r="A16" s="22" t="n">
        <v>13</v>
      </c>
      <c r="B16" s="22" t="s">
        <v>536</v>
      </c>
      <c r="C16" s="22" t="s">
        <v>537</v>
      </c>
      <c r="D16" s="22" t="s">
        <v>538</v>
      </c>
      <c r="E16" s="22" t="s">
        <v>539</v>
      </c>
    </row>
    <row r="17" customFormat="false" ht="48" hidden="false" customHeight="true" outlineLevel="0" collapsed="false">
      <c r="A17" s="22" t="n">
        <v>14</v>
      </c>
      <c r="B17" s="22" t="s">
        <v>540</v>
      </c>
      <c r="C17" s="22" t="s">
        <v>541</v>
      </c>
      <c r="D17" s="22" t="s">
        <v>542</v>
      </c>
      <c r="E17" s="22" t="s">
        <v>543</v>
      </c>
    </row>
    <row r="18" customFormat="false" ht="54.75" hidden="false" customHeight="true" outlineLevel="0" collapsed="false">
      <c r="A18" s="22" t="n">
        <v>15</v>
      </c>
      <c r="B18" s="22" t="s">
        <v>544</v>
      </c>
      <c r="C18" s="22" t="s">
        <v>545</v>
      </c>
      <c r="D18" s="22" t="s">
        <v>546</v>
      </c>
      <c r="E18" s="22" t="s">
        <v>547</v>
      </c>
    </row>
    <row r="19" customFormat="false" ht="54.75" hidden="false" customHeight="true" outlineLevel="0" collapsed="false">
      <c r="A19" s="22" t="n">
        <v>16</v>
      </c>
      <c r="B19" s="22" t="s">
        <v>548</v>
      </c>
      <c r="C19" s="22" t="s">
        <v>549</v>
      </c>
      <c r="D19" s="22" t="s">
        <v>550</v>
      </c>
      <c r="E19" s="22" t="s">
        <v>551</v>
      </c>
    </row>
    <row r="20" customFormat="false" ht="54.75" hidden="false" customHeight="true" outlineLevel="0" collapsed="false">
      <c r="A20" s="22" t="n">
        <v>17</v>
      </c>
      <c r="B20" s="22" t="s">
        <v>552</v>
      </c>
      <c r="C20" s="22" t="s">
        <v>553</v>
      </c>
      <c r="D20" s="22" t="s">
        <v>554</v>
      </c>
      <c r="E20" s="22" t="s">
        <v>555</v>
      </c>
    </row>
    <row r="21" customFormat="false" ht="54.75" hidden="false" customHeight="true" outlineLevel="0" collapsed="false">
      <c r="A21" s="22" t="n">
        <v>18</v>
      </c>
      <c r="B21" s="22" t="s">
        <v>556</v>
      </c>
      <c r="C21" s="22" t="s">
        <v>557</v>
      </c>
      <c r="D21" s="22" t="s">
        <v>558</v>
      </c>
      <c r="E21" s="22" t="s">
        <v>559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453125" defaultRowHeight="15" customHeight="false" zeroHeight="false" outlineLevelRow="0" outlineLevelCol="0"/>
  <cols>
    <col collapsed="false" customWidth="true" hidden="false" outlineLevel="0" max="1" min="1" style="1" width="1.57"/>
    <col collapsed="false" customWidth="true" hidden="false" outlineLevel="0" max="2" min="2" style="1" width="27.71"/>
    <col collapsed="false" customWidth="true" hidden="false" outlineLevel="0" max="3" min="3" style="1" width="86"/>
    <col collapsed="false" customWidth="true" hidden="false" outlineLevel="0" max="4" min="4" style="1" width="2.86"/>
    <col collapsed="false" customWidth="true" hidden="false" outlineLevel="0" max="6" min="5" style="1" width="11.43"/>
    <col collapsed="false" customWidth="true" hidden="false" outlineLevel="0" max="26" min="7" style="1" width="10.71"/>
  </cols>
  <sheetData>
    <row r="1" customFormat="false" ht="33.75" hidden="false" customHeight="true" outlineLevel="0" collapsed="false">
      <c r="A1" s="2"/>
      <c r="B1" s="3" t="s">
        <v>560</v>
      </c>
      <c r="C1" s="2"/>
      <c r="D1" s="2"/>
      <c r="E1" s="2"/>
      <c r="F1" s="2"/>
      <c r="G1" s="2"/>
      <c r="H1" s="2"/>
      <c r="I1" s="2"/>
      <c r="J1" s="2"/>
      <c r="K1" s="2"/>
      <c r="L1" s="2"/>
      <c r="M1" s="2"/>
      <c r="N1" s="2"/>
      <c r="O1" s="2"/>
      <c r="P1" s="2"/>
      <c r="Q1" s="2"/>
      <c r="R1" s="2"/>
      <c r="S1" s="2"/>
      <c r="T1" s="2"/>
      <c r="U1" s="2"/>
      <c r="V1" s="2"/>
      <c r="W1" s="2"/>
      <c r="X1" s="2"/>
      <c r="Y1" s="2"/>
      <c r="Z1" s="2"/>
    </row>
    <row r="2" customFormat="false" ht="19.5" hidden="false" customHeight="true" outlineLevel="0" collapsed="false">
      <c r="A2" s="2"/>
      <c r="B2" s="4"/>
      <c r="C2" s="2"/>
      <c r="D2" s="2"/>
      <c r="E2" s="2"/>
      <c r="F2" s="2"/>
      <c r="G2" s="2"/>
      <c r="H2" s="2"/>
      <c r="I2" s="2"/>
      <c r="J2" s="2"/>
      <c r="K2" s="2"/>
      <c r="L2" s="2"/>
      <c r="M2" s="2"/>
      <c r="N2" s="2"/>
      <c r="O2" s="2"/>
      <c r="P2" s="2"/>
      <c r="Q2" s="2"/>
      <c r="R2" s="2"/>
      <c r="S2" s="2"/>
      <c r="T2" s="2"/>
      <c r="U2" s="2"/>
      <c r="V2" s="2"/>
      <c r="W2" s="2"/>
      <c r="X2" s="2"/>
      <c r="Y2" s="2"/>
      <c r="Z2" s="2"/>
    </row>
    <row r="3" customFormat="false" ht="15" hidden="false" customHeight="true" outlineLevel="0" collapsed="false">
      <c r="A3" s="2"/>
      <c r="B3" s="2"/>
      <c r="C3" s="2"/>
      <c r="D3" s="2"/>
      <c r="E3" s="2"/>
      <c r="F3" s="2"/>
      <c r="G3" s="2"/>
      <c r="H3" s="2"/>
      <c r="I3" s="2"/>
      <c r="J3" s="2"/>
      <c r="K3" s="2"/>
      <c r="L3" s="2"/>
      <c r="M3" s="2"/>
      <c r="N3" s="2"/>
      <c r="O3" s="2"/>
      <c r="P3" s="2"/>
      <c r="Q3" s="2"/>
      <c r="R3" s="2"/>
      <c r="S3" s="2"/>
      <c r="T3" s="2"/>
      <c r="U3" s="2"/>
      <c r="V3" s="2"/>
      <c r="W3" s="2"/>
      <c r="X3" s="2"/>
      <c r="Y3" s="2"/>
      <c r="Z3" s="2"/>
    </row>
    <row r="4" customFormat="false" ht="15" hidden="false" customHeight="true" outlineLevel="0" collapsed="false">
      <c r="A4" s="2"/>
      <c r="B4" s="29" t="s">
        <v>561</v>
      </c>
      <c r="C4" s="29" t="s">
        <v>562</v>
      </c>
      <c r="D4" s="2"/>
      <c r="E4" s="2"/>
      <c r="F4" s="2"/>
      <c r="G4" s="2"/>
      <c r="H4" s="2"/>
      <c r="I4" s="2"/>
      <c r="J4" s="2"/>
      <c r="K4" s="2"/>
      <c r="L4" s="2"/>
      <c r="M4" s="2"/>
      <c r="N4" s="2"/>
      <c r="O4" s="2"/>
      <c r="P4" s="2"/>
      <c r="Q4" s="2"/>
      <c r="R4" s="2"/>
      <c r="S4" s="2"/>
      <c r="T4" s="2"/>
      <c r="U4" s="2"/>
      <c r="V4" s="2"/>
      <c r="W4" s="2"/>
      <c r="X4" s="2"/>
      <c r="Y4" s="2"/>
      <c r="Z4" s="2"/>
    </row>
    <row r="5" customFormat="false" ht="41.25" hidden="false" customHeight="true" outlineLevel="0" collapsed="false">
      <c r="A5" s="2"/>
      <c r="B5" s="30" t="s">
        <v>1</v>
      </c>
      <c r="C5" s="30" t="s">
        <v>563</v>
      </c>
      <c r="D5" s="2"/>
      <c r="E5" s="2"/>
      <c r="F5" s="2"/>
      <c r="G5" s="2"/>
      <c r="H5" s="2"/>
      <c r="I5" s="2"/>
      <c r="J5" s="2"/>
      <c r="K5" s="2"/>
      <c r="L5" s="2"/>
      <c r="M5" s="2"/>
      <c r="N5" s="2"/>
      <c r="O5" s="2"/>
      <c r="P5" s="2"/>
      <c r="Q5" s="2"/>
      <c r="R5" s="2"/>
      <c r="S5" s="2"/>
      <c r="T5" s="2"/>
      <c r="U5" s="2"/>
      <c r="V5" s="2"/>
      <c r="W5" s="2"/>
      <c r="X5" s="2"/>
      <c r="Y5" s="2"/>
      <c r="Z5" s="2"/>
    </row>
    <row r="6" customFormat="false" ht="68.25" hidden="false" customHeight="true" outlineLevel="0" collapsed="false">
      <c r="A6" s="2"/>
      <c r="B6" s="30" t="s">
        <v>2</v>
      </c>
      <c r="C6" s="30" t="s">
        <v>564</v>
      </c>
      <c r="D6" s="2"/>
      <c r="E6" s="2"/>
      <c r="F6" s="2"/>
      <c r="G6" s="2"/>
      <c r="H6" s="2"/>
      <c r="I6" s="2"/>
      <c r="J6" s="2"/>
      <c r="K6" s="2"/>
      <c r="L6" s="2"/>
      <c r="M6" s="2"/>
      <c r="N6" s="2"/>
      <c r="O6" s="2"/>
      <c r="P6" s="2"/>
      <c r="Q6" s="2"/>
      <c r="R6" s="2"/>
      <c r="S6" s="2"/>
      <c r="T6" s="2"/>
      <c r="U6" s="2"/>
      <c r="V6" s="2"/>
      <c r="W6" s="2"/>
      <c r="X6" s="2"/>
      <c r="Y6" s="2"/>
      <c r="Z6" s="2"/>
    </row>
    <row r="7" customFormat="false" ht="41.25" hidden="false" customHeight="true" outlineLevel="0" collapsed="false">
      <c r="A7" s="2"/>
      <c r="B7" s="30" t="s">
        <v>3</v>
      </c>
      <c r="C7" s="30" t="s">
        <v>565</v>
      </c>
      <c r="D7" s="2"/>
      <c r="E7" s="2"/>
      <c r="F7" s="2"/>
      <c r="G7" s="2"/>
      <c r="H7" s="2"/>
      <c r="I7" s="2"/>
      <c r="J7" s="2"/>
      <c r="K7" s="2"/>
      <c r="L7" s="2"/>
      <c r="M7" s="2"/>
      <c r="N7" s="2"/>
      <c r="O7" s="2"/>
      <c r="P7" s="2"/>
      <c r="Q7" s="2"/>
      <c r="R7" s="2"/>
      <c r="S7" s="2"/>
      <c r="T7" s="2"/>
      <c r="U7" s="2"/>
      <c r="V7" s="2"/>
      <c r="W7" s="2"/>
      <c r="X7" s="2"/>
      <c r="Y7" s="2"/>
      <c r="Z7" s="2"/>
    </row>
    <row r="8" customFormat="false" ht="202.5" hidden="false" customHeight="true" outlineLevel="0" collapsed="false">
      <c r="A8" s="2"/>
      <c r="B8" s="30" t="s">
        <v>4</v>
      </c>
      <c r="C8" s="30" t="s">
        <v>566</v>
      </c>
      <c r="D8" s="2"/>
      <c r="E8" s="2"/>
      <c r="F8" s="2"/>
      <c r="G8" s="2"/>
      <c r="H8" s="2"/>
      <c r="I8" s="2"/>
      <c r="J8" s="2"/>
      <c r="K8" s="2"/>
      <c r="L8" s="2"/>
      <c r="M8" s="2"/>
      <c r="N8" s="2"/>
      <c r="O8" s="2"/>
      <c r="P8" s="2"/>
      <c r="Q8" s="2"/>
      <c r="R8" s="2"/>
      <c r="S8" s="2"/>
      <c r="T8" s="2"/>
      <c r="U8" s="2"/>
      <c r="V8" s="2"/>
      <c r="W8" s="2"/>
      <c r="X8" s="2"/>
      <c r="Y8" s="2"/>
      <c r="Z8" s="2"/>
    </row>
    <row r="9" customFormat="false" ht="15" hidden="false" customHeight="true" outlineLevel="0" collapsed="false">
      <c r="A9" s="2"/>
      <c r="B9" s="30" t="s">
        <v>5</v>
      </c>
      <c r="C9" s="30" t="s">
        <v>567</v>
      </c>
      <c r="D9" s="2"/>
      <c r="E9" s="2"/>
      <c r="F9" s="2"/>
      <c r="G9" s="2"/>
      <c r="H9" s="2"/>
      <c r="I9" s="2"/>
      <c r="J9" s="2"/>
      <c r="K9" s="2"/>
      <c r="L9" s="2"/>
      <c r="M9" s="2"/>
      <c r="N9" s="2"/>
      <c r="O9" s="2"/>
      <c r="P9" s="2"/>
      <c r="Q9" s="2"/>
      <c r="R9" s="2"/>
      <c r="S9" s="2"/>
      <c r="T9" s="2"/>
      <c r="U9" s="2"/>
      <c r="V9" s="2"/>
      <c r="W9" s="2"/>
      <c r="X9" s="2"/>
      <c r="Y9" s="2"/>
      <c r="Z9" s="2"/>
    </row>
    <row r="10" customFormat="false" ht="50.25" hidden="false" customHeight="true" outlineLevel="0" collapsed="false">
      <c r="A10" s="2"/>
      <c r="B10" s="30" t="s">
        <v>568</v>
      </c>
      <c r="C10" s="30" t="s">
        <v>569</v>
      </c>
      <c r="D10" s="2"/>
      <c r="E10" s="2"/>
      <c r="F10" s="2"/>
      <c r="G10" s="2"/>
      <c r="H10" s="2"/>
      <c r="I10" s="2"/>
      <c r="J10" s="2"/>
      <c r="K10" s="2"/>
      <c r="L10" s="2"/>
      <c r="M10" s="2"/>
      <c r="N10" s="2"/>
      <c r="O10" s="2"/>
      <c r="P10" s="2"/>
      <c r="Q10" s="2"/>
      <c r="R10" s="2"/>
      <c r="S10" s="2"/>
      <c r="T10" s="2"/>
      <c r="U10" s="2"/>
      <c r="V10" s="2"/>
      <c r="W10" s="2"/>
      <c r="X10" s="2"/>
      <c r="Y10" s="2"/>
      <c r="Z10" s="2"/>
    </row>
    <row r="11" customFormat="false" ht="50.25" hidden="false" customHeight="true" outlineLevel="0" collapsed="false">
      <c r="A11" s="2"/>
      <c r="B11" s="30" t="s">
        <v>7</v>
      </c>
      <c r="C11" s="30" t="s">
        <v>570</v>
      </c>
      <c r="D11" s="2"/>
      <c r="E11" s="2"/>
      <c r="F11" s="2"/>
      <c r="G11" s="2"/>
      <c r="H11" s="2"/>
      <c r="I11" s="2"/>
      <c r="J11" s="2"/>
      <c r="K11" s="2"/>
      <c r="L11" s="2"/>
      <c r="M11" s="2"/>
      <c r="N11" s="2"/>
      <c r="O11" s="2"/>
      <c r="P11" s="2"/>
      <c r="Q11" s="2"/>
      <c r="R11" s="2"/>
      <c r="S11" s="2"/>
      <c r="T11" s="2"/>
      <c r="U11" s="2"/>
      <c r="V11" s="2"/>
      <c r="W11" s="2"/>
      <c r="X11" s="2"/>
      <c r="Y11" s="2"/>
      <c r="Z11" s="2"/>
    </row>
    <row r="12" customFormat="false" ht="54.75" hidden="false" customHeight="true" outlineLevel="0" collapsed="false">
      <c r="A12" s="2"/>
      <c r="B12" s="30" t="s">
        <v>8</v>
      </c>
      <c r="C12" s="30" t="s">
        <v>571</v>
      </c>
      <c r="D12" s="2"/>
      <c r="E12" s="2"/>
      <c r="F12" s="2"/>
      <c r="G12" s="2"/>
      <c r="H12" s="2"/>
      <c r="I12" s="2"/>
      <c r="J12" s="2"/>
      <c r="K12" s="2"/>
      <c r="L12" s="2"/>
      <c r="M12" s="2"/>
      <c r="N12" s="2"/>
      <c r="O12" s="2"/>
      <c r="P12" s="2"/>
      <c r="Q12" s="2"/>
      <c r="R12" s="2"/>
      <c r="S12" s="2"/>
      <c r="T12" s="2"/>
      <c r="U12" s="2"/>
      <c r="V12" s="2"/>
      <c r="W12" s="2"/>
      <c r="X12" s="2"/>
      <c r="Y12" s="2"/>
      <c r="Z12" s="2"/>
    </row>
    <row r="13" customFormat="false" ht="54.75" hidden="false" customHeight="true" outlineLevel="0" collapsed="false">
      <c r="A13" s="2"/>
      <c r="B13" s="30" t="s">
        <v>9</v>
      </c>
      <c r="C13" s="30" t="s">
        <v>572</v>
      </c>
      <c r="D13" s="2"/>
      <c r="E13" s="2"/>
      <c r="F13" s="2"/>
      <c r="G13" s="2"/>
      <c r="H13" s="2"/>
      <c r="I13" s="2"/>
      <c r="J13" s="2"/>
      <c r="K13" s="2"/>
      <c r="L13" s="2"/>
      <c r="M13" s="2"/>
      <c r="N13" s="2"/>
      <c r="O13" s="2"/>
      <c r="P13" s="2"/>
      <c r="Q13" s="2"/>
      <c r="R13" s="2"/>
      <c r="S13" s="2"/>
      <c r="T13" s="2"/>
      <c r="U13" s="2"/>
      <c r="V13" s="2"/>
      <c r="W13" s="2"/>
      <c r="X13" s="2"/>
      <c r="Y13" s="2"/>
      <c r="Z13" s="2"/>
    </row>
    <row r="14" customFormat="false" ht="27.75" hidden="false" customHeight="true" outlineLevel="0" collapsed="false">
      <c r="A14" s="2"/>
      <c r="B14" s="30" t="s">
        <v>10</v>
      </c>
      <c r="C14" s="30" t="s">
        <v>573</v>
      </c>
      <c r="D14" s="2"/>
      <c r="E14" s="2"/>
      <c r="F14" s="2"/>
      <c r="G14" s="2"/>
      <c r="H14" s="2"/>
      <c r="I14" s="2"/>
      <c r="J14" s="2"/>
      <c r="K14" s="2"/>
      <c r="L14" s="2"/>
      <c r="M14" s="2"/>
      <c r="N14" s="2"/>
      <c r="O14" s="2"/>
      <c r="P14" s="2"/>
      <c r="Q14" s="2"/>
      <c r="R14" s="2"/>
      <c r="S14" s="2"/>
      <c r="T14" s="2"/>
      <c r="U14" s="2"/>
      <c r="V14" s="2"/>
      <c r="W14" s="2"/>
      <c r="X14" s="2"/>
      <c r="Y14" s="2"/>
      <c r="Z14" s="2"/>
    </row>
    <row r="15" customFormat="false" ht="15" hidden="false" customHeight="true" outlineLevel="0" collapsed="false">
      <c r="A15" s="2"/>
      <c r="B15" s="2"/>
      <c r="C15" s="2"/>
      <c r="D15" s="2"/>
      <c r="E15" s="2"/>
      <c r="F15" s="2"/>
      <c r="G15" s="2"/>
      <c r="H15" s="2"/>
      <c r="I15" s="2"/>
      <c r="J15" s="2"/>
      <c r="K15" s="2"/>
      <c r="L15" s="2"/>
      <c r="M15" s="2"/>
      <c r="N15" s="2"/>
      <c r="O15" s="2"/>
      <c r="P15" s="2"/>
      <c r="Q15" s="2"/>
      <c r="R15" s="2"/>
      <c r="S15" s="2"/>
      <c r="T15" s="2"/>
      <c r="U15" s="2"/>
      <c r="V15" s="2"/>
      <c r="W15" s="2"/>
      <c r="X15" s="2"/>
      <c r="Y15" s="2"/>
      <c r="Z15" s="2"/>
    </row>
    <row r="16" customFormat="false" ht="15" hidden="false" customHeight="true" outlineLevel="0" collapsed="false">
      <c r="A16" s="2"/>
      <c r="B16" s="2"/>
      <c r="C16" s="2"/>
      <c r="D16" s="2"/>
      <c r="E16" s="2"/>
      <c r="F16" s="2"/>
      <c r="G16" s="2"/>
      <c r="H16" s="2"/>
      <c r="I16" s="2"/>
      <c r="J16" s="2"/>
      <c r="K16" s="2"/>
      <c r="L16" s="2"/>
      <c r="M16" s="2"/>
      <c r="N16" s="2"/>
      <c r="O16" s="2"/>
      <c r="P16" s="2"/>
      <c r="Q16" s="2"/>
      <c r="R16" s="2"/>
      <c r="S16" s="2"/>
      <c r="T16" s="2"/>
      <c r="U16" s="2"/>
      <c r="V16" s="2"/>
      <c r="W16" s="2"/>
      <c r="X16" s="2"/>
      <c r="Y16" s="2"/>
      <c r="Z16" s="2"/>
    </row>
    <row r="17" customFormat="false" ht="15" hidden="false" customHeight="true" outlineLevel="0" collapsed="false">
      <c r="A17" s="2"/>
      <c r="B17" s="2"/>
      <c r="C17" s="2"/>
      <c r="D17" s="2"/>
      <c r="E17" s="2"/>
      <c r="F17" s="2"/>
      <c r="G17" s="2"/>
      <c r="H17" s="2"/>
      <c r="I17" s="2"/>
      <c r="J17" s="2"/>
      <c r="K17" s="2"/>
      <c r="L17" s="2"/>
      <c r="M17" s="2"/>
      <c r="N17" s="2"/>
      <c r="O17" s="2"/>
      <c r="P17" s="2"/>
      <c r="Q17" s="2"/>
      <c r="R17" s="2"/>
      <c r="S17" s="2"/>
      <c r="T17" s="2"/>
      <c r="U17" s="2"/>
      <c r="V17" s="2"/>
      <c r="W17" s="2"/>
      <c r="X17" s="2"/>
      <c r="Y17" s="2"/>
      <c r="Z17" s="2"/>
    </row>
    <row r="18" customFormat="false" ht="15" hidden="false" customHeight="true" outlineLevel="0" collapsed="false">
      <c r="A18" s="2"/>
      <c r="B18" s="2"/>
      <c r="C18" s="2"/>
      <c r="D18" s="2"/>
      <c r="E18" s="2"/>
      <c r="F18" s="2"/>
      <c r="G18" s="2"/>
      <c r="H18" s="2"/>
      <c r="I18" s="2"/>
      <c r="J18" s="2"/>
      <c r="K18" s="2"/>
      <c r="L18" s="2"/>
      <c r="M18" s="2"/>
      <c r="N18" s="2"/>
      <c r="O18" s="2"/>
      <c r="P18" s="2"/>
      <c r="Q18" s="2"/>
      <c r="R18" s="2"/>
      <c r="S18" s="2"/>
      <c r="T18" s="2"/>
      <c r="U18" s="2"/>
      <c r="V18" s="2"/>
      <c r="W18" s="2"/>
      <c r="X18" s="2"/>
      <c r="Y18" s="2"/>
      <c r="Z18" s="2"/>
    </row>
    <row r="19" customFormat="false" ht="15" hidden="false" customHeight="true" outlineLevel="0" collapsed="false">
      <c r="A19" s="2"/>
      <c r="B19" s="2"/>
      <c r="C19" s="2"/>
      <c r="D19" s="2"/>
      <c r="E19" s="2"/>
      <c r="F19" s="2"/>
      <c r="G19" s="2"/>
      <c r="H19" s="2"/>
      <c r="I19" s="2"/>
      <c r="J19" s="2"/>
      <c r="K19" s="2"/>
      <c r="L19" s="2"/>
      <c r="M19" s="2"/>
      <c r="N19" s="2"/>
      <c r="O19" s="2"/>
      <c r="P19" s="2"/>
      <c r="Q19" s="2"/>
      <c r="R19" s="2"/>
      <c r="S19" s="2"/>
      <c r="T19" s="2"/>
      <c r="U19" s="2"/>
      <c r="V19" s="2"/>
      <c r="W19" s="2"/>
      <c r="X19" s="2"/>
      <c r="Y19" s="2"/>
      <c r="Z19" s="2"/>
    </row>
    <row r="20" customFormat="false" ht="15" hidden="false" customHeight="true" outlineLevel="0" collapsed="false">
      <c r="A20" s="2"/>
      <c r="B20" s="2"/>
      <c r="C20" s="2"/>
      <c r="D20" s="2"/>
      <c r="E20" s="2"/>
      <c r="F20" s="2"/>
      <c r="G20" s="2"/>
      <c r="H20" s="2"/>
      <c r="I20" s="2"/>
      <c r="J20" s="2"/>
      <c r="K20" s="2"/>
      <c r="L20" s="2"/>
      <c r="M20" s="2"/>
      <c r="N20" s="2"/>
      <c r="O20" s="2"/>
      <c r="P20" s="2"/>
      <c r="Q20" s="2"/>
      <c r="R20" s="2"/>
      <c r="S20" s="2"/>
      <c r="T20" s="2"/>
      <c r="U20" s="2"/>
      <c r="V20" s="2"/>
      <c r="W20" s="2"/>
      <c r="X20" s="2"/>
      <c r="Y20" s="2"/>
      <c r="Z20" s="2"/>
    </row>
    <row r="21" customFormat="false" ht="15.75" hidden="false" customHeight="true" outlineLevel="0" collapsed="false">
      <c r="A21" s="2"/>
      <c r="B21" s="2"/>
      <c r="C21" s="2"/>
      <c r="D21" s="2"/>
      <c r="E21" s="2"/>
      <c r="F21" s="2"/>
      <c r="G21" s="2"/>
      <c r="H21" s="2"/>
      <c r="I21" s="2"/>
      <c r="J21" s="2"/>
      <c r="K21" s="2"/>
      <c r="L21" s="2"/>
      <c r="M21" s="2"/>
      <c r="N21" s="2"/>
      <c r="O21" s="2"/>
      <c r="P21" s="2"/>
      <c r="Q21" s="2"/>
      <c r="R21" s="2"/>
      <c r="S21" s="2"/>
      <c r="T21" s="2"/>
      <c r="U21" s="2"/>
      <c r="V21" s="2"/>
      <c r="W21" s="2"/>
      <c r="X21" s="2"/>
      <c r="Y21" s="2"/>
      <c r="Z21" s="2"/>
    </row>
    <row r="22" customFormat="false" ht="15.75" hidden="false" customHeight="true" outlineLevel="0" collapsed="false">
      <c r="A22" s="2"/>
      <c r="B22" s="2"/>
      <c r="C22" s="2"/>
      <c r="D22" s="2"/>
      <c r="E22" s="2"/>
      <c r="F22" s="2"/>
      <c r="G22" s="2"/>
      <c r="H22" s="2"/>
      <c r="I22" s="2"/>
      <c r="J22" s="2"/>
      <c r="K22" s="2"/>
      <c r="L22" s="2"/>
      <c r="M22" s="2"/>
      <c r="N22" s="2"/>
      <c r="O22" s="2"/>
      <c r="P22" s="2"/>
      <c r="Q22" s="2"/>
      <c r="R22" s="2"/>
      <c r="S22" s="2"/>
      <c r="T22" s="2"/>
      <c r="U22" s="2"/>
      <c r="V22" s="2"/>
      <c r="W22" s="2"/>
      <c r="X22" s="2"/>
      <c r="Y22" s="2"/>
      <c r="Z22" s="2"/>
    </row>
    <row r="23" customFormat="false" ht="15.75" hidden="false" customHeight="true" outlineLevel="0" collapsed="false">
      <c r="A23" s="2"/>
      <c r="B23" s="2"/>
      <c r="C23" s="2"/>
      <c r="D23" s="2"/>
      <c r="E23" s="2"/>
      <c r="F23" s="2"/>
      <c r="G23" s="2"/>
      <c r="H23" s="2"/>
      <c r="I23" s="2"/>
      <c r="J23" s="2"/>
      <c r="K23" s="2"/>
      <c r="L23" s="2"/>
      <c r="M23" s="2"/>
      <c r="N23" s="2"/>
      <c r="O23" s="2"/>
      <c r="P23" s="2"/>
      <c r="Q23" s="2"/>
      <c r="R23" s="2"/>
      <c r="S23" s="2"/>
      <c r="T23" s="2"/>
      <c r="U23" s="2"/>
      <c r="V23" s="2"/>
      <c r="W23" s="2"/>
      <c r="X23" s="2"/>
      <c r="Y23" s="2"/>
      <c r="Z23" s="2"/>
    </row>
    <row r="24" customFormat="false" ht="15.75" hidden="false" customHeight="true" outlineLevel="0" collapsed="false">
      <c r="A24" s="2"/>
      <c r="B24" s="2"/>
      <c r="C24" s="2"/>
      <c r="D24" s="2"/>
      <c r="E24" s="2"/>
      <c r="F24" s="2"/>
      <c r="G24" s="2"/>
      <c r="H24" s="2"/>
      <c r="I24" s="2"/>
      <c r="J24" s="2"/>
      <c r="K24" s="2"/>
      <c r="L24" s="2"/>
      <c r="M24" s="2"/>
      <c r="N24" s="2"/>
      <c r="O24" s="2"/>
      <c r="P24" s="2"/>
      <c r="Q24" s="2"/>
      <c r="R24" s="2"/>
      <c r="S24" s="2"/>
      <c r="T24" s="2"/>
      <c r="U24" s="2"/>
      <c r="V24" s="2"/>
      <c r="W24" s="2"/>
      <c r="X24" s="2"/>
      <c r="Y24" s="2"/>
      <c r="Z24" s="2"/>
    </row>
    <row r="25" customFormat="false" ht="15.75" hidden="false" customHeight="true" outlineLevel="0" collapsed="false">
      <c r="A25" s="2"/>
      <c r="B25" s="2"/>
      <c r="C25" s="2"/>
      <c r="D25" s="2"/>
      <c r="E25" s="2"/>
      <c r="F25" s="2"/>
      <c r="G25" s="2"/>
      <c r="H25" s="2"/>
      <c r="I25" s="2"/>
      <c r="J25" s="2"/>
      <c r="K25" s="2"/>
      <c r="L25" s="2"/>
      <c r="M25" s="2"/>
      <c r="N25" s="2"/>
      <c r="O25" s="2"/>
      <c r="P25" s="2"/>
      <c r="Q25" s="2"/>
      <c r="R25" s="2"/>
      <c r="S25" s="2"/>
      <c r="T25" s="2"/>
      <c r="U25" s="2"/>
      <c r="V25" s="2"/>
      <c r="W25" s="2"/>
      <c r="X25" s="2"/>
      <c r="Y25" s="2"/>
      <c r="Z25" s="2"/>
    </row>
    <row r="26" customFormat="false" ht="15.75" hidden="false" customHeight="true" outlineLevel="0" collapsed="false">
      <c r="A26" s="2"/>
      <c r="B26" s="2"/>
      <c r="C26" s="2"/>
      <c r="D26" s="2"/>
      <c r="E26" s="2"/>
      <c r="F26" s="2"/>
      <c r="G26" s="2"/>
      <c r="H26" s="2"/>
      <c r="I26" s="2"/>
      <c r="J26" s="2"/>
      <c r="K26" s="2"/>
      <c r="L26" s="2"/>
      <c r="M26" s="2"/>
      <c r="N26" s="2"/>
      <c r="O26" s="2"/>
      <c r="P26" s="2"/>
      <c r="Q26" s="2"/>
      <c r="R26" s="2"/>
      <c r="S26" s="2"/>
      <c r="T26" s="2"/>
      <c r="U26" s="2"/>
      <c r="V26" s="2"/>
      <c r="W26" s="2"/>
      <c r="X26" s="2"/>
      <c r="Y26" s="2"/>
      <c r="Z26" s="2"/>
    </row>
    <row r="27" customFormat="false" ht="15.75" hidden="false" customHeight="true" outlineLevel="0" collapsed="false">
      <c r="A27" s="2"/>
      <c r="B27" s="2"/>
      <c r="C27" s="2"/>
      <c r="D27" s="2"/>
      <c r="E27" s="2"/>
      <c r="F27" s="2"/>
      <c r="G27" s="2"/>
      <c r="H27" s="2"/>
      <c r="I27" s="2"/>
      <c r="J27" s="2"/>
      <c r="K27" s="2"/>
      <c r="L27" s="2"/>
      <c r="M27" s="2"/>
      <c r="N27" s="2"/>
      <c r="O27" s="2"/>
      <c r="P27" s="2"/>
      <c r="Q27" s="2"/>
      <c r="R27" s="2"/>
      <c r="S27" s="2"/>
      <c r="T27" s="2"/>
      <c r="U27" s="2"/>
      <c r="V27" s="2"/>
      <c r="W27" s="2"/>
      <c r="X27" s="2"/>
      <c r="Y27" s="2"/>
      <c r="Z27" s="2"/>
    </row>
    <row r="28" customFormat="false" ht="15.75" hidden="false" customHeight="true" outlineLevel="0" collapsed="false">
      <c r="A28" s="2"/>
      <c r="B28" s="2"/>
      <c r="C28" s="2"/>
      <c r="D28" s="2"/>
      <c r="E28" s="2"/>
      <c r="F28" s="2"/>
      <c r="G28" s="2"/>
      <c r="H28" s="2"/>
      <c r="I28" s="2"/>
      <c r="J28" s="2"/>
      <c r="K28" s="2"/>
      <c r="L28" s="2"/>
      <c r="M28" s="2"/>
      <c r="N28" s="2"/>
      <c r="O28" s="2"/>
      <c r="P28" s="2"/>
      <c r="Q28" s="2"/>
      <c r="R28" s="2"/>
      <c r="S28" s="2"/>
      <c r="T28" s="2"/>
      <c r="U28" s="2"/>
      <c r="V28" s="2"/>
      <c r="W28" s="2"/>
      <c r="X28" s="2"/>
      <c r="Y28" s="2"/>
      <c r="Z28" s="2"/>
    </row>
    <row r="29" customFormat="false" ht="15.75" hidden="false" customHeight="true" outlineLevel="0" collapsed="false">
      <c r="A29" s="2"/>
      <c r="B29" s="2"/>
      <c r="C29" s="2"/>
      <c r="D29" s="2"/>
      <c r="E29" s="2"/>
      <c r="F29" s="2"/>
      <c r="G29" s="2"/>
      <c r="H29" s="2"/>
      <c r="I29" s="2"/>
      <c r="J29" s="2"/>
      <c r="K29" s="2"/>
      <c r="L29" s="2"/>
      <c r="M29" s="2"/>
      <c r="N29" s="2"/>
      <c r="O29" s="2"/>
      <c r="P29" s="2"/>
      <c r="Q29" s="2"/>
      <c r="R29" s="2"/>
      <c r="S29" s="2"/>
      <c r="T29" s="2"/>
      <c r="U29" s="2"/>
      <c r="V29" s="2"/>
      <c r="W29" s="2"/>
      <c r="X29" s="2"/>
      <c r="Y29" s="2"/>
      <c r="Z29" s="2"/>
    </row>
    <row r="30" customFormat="false" ht="15.75" hidden="false" customHeight="true" outlineLevel="0" collapsed="false">
      <c r="A30" s="2"/>
      <c r="B30" s="2"/>
      <c r="C30" s="2"/>
      <c r="D30" s="2"/>
      <c r="E30" s="2"/>
      <c r="F30" s="2"/>
      <c r="G30" s="2"/>
      <c r="H30" s="2"/>
      <c r="I30" s="2"/>
      <c r="J30" s="2"/>
      <c r="K30" s="2"/>
      <c r="L30" s="2"/>
      <c r="M30" s="2"/>
      <c r="N30" s="2"/>
      <c r="O30" s="2"/>
      <c r="P30" s="2"/>
      <c r="Q30" s="2"/>
      <c r="R30" s="2"/>
      <c r="S30" s="2"/>
      <c r="T30" s="2"/>
      <c r="U30" s="2"/>
      <c r="V30" s="2"/>
      <c r="W30" s="2"/>
      <c r="X30" s="2"/>
      <c r="Y30" s="2"/>
      <c r="Z30" s="2"/>
    </row>
    <row r="31" customFormat="false" ht="15.75" hidden="false" customHeight="true" outlineLevel="0" collapsed="false">
      <c r="A31" s="2"/>
      <c r="B31" s="2"/>
      <c r="C31" s="2"/>
      <c r="D31" s="2"/>
      <c r="E31" s="2"/>
      <c r="F31" s="2"/>
      <c r="G31" s="2"/>
      <c r="H31" s="2"/>
      <c r="I31" s="2"/>
      <c r="J31" s="2"/>
      <c r="K31" s="2"/>
      <c r="L31" s="2"/>
      <c r="M31" s="2"/>
      <c r="N31" s="2"/>
      <c r="O31" s="2"/>
      <c r="P31" s="2"/>
      <c r="Q31" s="2"/>
      <c r="R31" s="2"/>
      <c r="S31" s="2"/>
      <c r="T31" s="2"/>
      <c r="U31" s="2"/>
      <c r="V31" s="2"/>
      <c r="W31" s="2"/>
      <c r="X31" s="2"/>
      <c r="Y31" s="2"/>
      <c r="Z31" s="2"/>
    </row>
    <row r="32" customFormat="false" ht="15.75" hidden="false" customHeight="true" outlineLevel="0" collapsed="false">
      <c r="A32" s="2"/>
      <c r="B32" s="2"/>
      <c r="C32" s="2"/>
      <c r="D32" s="2"/>
      <c r="E32" s="2"/>
      <c r="F32" s="2"/>
      <c r="G32" s="2"/>
      <c r="H32" s="2"/>
      <c r="I32" s="2"/>
      <c r="J32" s="2"/>
      <c r="K32" s="2"/>
      <c r="L32" s="2"/>
      <c r="M32" s="2"/>
      <c r="N32" s="2"/>
      <c r="O32" s="2"/>
      <c r="P32" s="2"/>
      <c r="Q32" s="2"/>
      <c r="R32" s="2"/>
      <c r="S32" s="2"/>
      <c r="T32" s="2"/>
      <c r="U32" s="2"/>
      <c r="V32" s="2"/>
      <c r="W32" s="2"/>
      <c r="X32" s="2"/>
      <c r="Y32" s="2"/>
      <c r="Z32" s="2"/>
    </row>
    <row r="33" customFormat="false" ht="15.75" hidden="false" customHeight="true" outlineLevel="0" collapsed="false">
      <c r="A33" s="2"/>
      <c r="B33" s="2"/>
      <c r="C33" s="2"/>
      <c r="D33" s="2"/>
      <c r="E33" s="2"/>
      <c r="F33" s="2"/>
      <c r="G33" s="2"/>
      <c r="H33" s="2"/>
      <c r="I33" s="2"/>
      <c r="J33" s="2"/>
      <c r="K33" s="2"/>
      <c r="L33" s="2"/>
      <c r="M33" s="2"/>
      <c r="N33" s="2"/>
      <c r="O33" s="2"/>
      <c r="P33" s="2"/>
      <c r="Q33" s="2"/>
      <c r="R33" s="2"/>
      <c r="S33" s="2"/>
      <c r="T33" s="2"/>
      <c r="U33" s="2"/>
      <c r="V33" s="2"/>
      <c r="W33" s="2"/>
      <c r="X33" s="2"/>
      <c r="Y33" s="2"/>
      <c r="Z33" s="2"/>
    </row>
    <row r="34" customFormat="false" ht="15.75" hidden="false" customHeight="true" outlineLevel="0" collapsed="false">
      <c r="A34" s="2"/>
      <c r="B34" s="2"/>
      <c r="C34" s="2"/>
      <c r="D34" s="2"/>
      <c r="E34" s="2"/>
      <c r="F34" s="2"/>
      <c r="G34" s="2"/>
      <c r="H34" s="2"/>
      <c r="I34" s="2"/>
      <c r="J34" s="2"/>
      <c r="K34" s="2"/>
      <c r="L34" s="2"/>
      <c r="M34" s="2"/>
      <c r="N34" s="2"/>
      <c r="O34" s="2"/>
      <c r="P34" s="2"/>
      <c r="Q34" s="2"/>
      <c r="R34" s="2"/>
      <c r="S34" s="2"/>
      <c r="T34" s="2"/>
      <c r="U34" s="2"/>
      <c r="V34" s="2"/>
      <c r="W34" s="2"/>
      <c r="X34" s="2"/>
      <c r="Y34" s="2"/>
      <c r="Z34" s="2"/>
    </row>
    <row r="35" customFormat="false" ht="15.75" hidden="false" customHeight="true" outlineLevel="0" collapsed="false">
      <c r="A35" s="2"/>
      <c r="B35" s="2"/>
      <c r="C35" s="2"/>
      <c r="D35" s="2"/>
      <c r="E35" s="2"/>
      <c r="F35" s="2"/>
      <c r="G35" s="2"/>
      <c r="H35" s="2"/>
      <c r="I35" s="2"/>
      <c r="J35" s="2"/>
      <c r="K35" s="2"/>
      <c r="L35" s="2"/>
      <c r="M35" s="2"/>
      <c r="N35" s="2"/>
      <c r="O35" s="2"/>
      <c r="P35" s="2"/>
      <c r="Q35" s="2"/>
      <c r="R35" s="2"/>
      <c r="S35" s="2"/>
      <c r="T35" s="2"/>
      <c r="U35" s="2"/>
      <c r="V35" s="2"/>
      <c r="W35" s="2"/>
      <c r="X35" s="2"/>
      <c r="Y35" s="2"/>
      <c r="Z35" s="2"/>
    </row>
    <row r="36" customFormat="false" ht="15.75" hidden="false" customHeight="true" outlineLevel="0" collapsed="false">
      <c r="A36" s="2"/>
      <c r="B36" s="2"/>
      <c r="C36" s="2"/>
      <c r="D36" s="2"/>
      <c r="E36" s="2"/>
      <c r="F36" s="2"/>
      <c r="G36" s="2"/>
      <c r="H36" s="2"/>
      <c r="I36" s="2"/>
      <c r="J36" s="2"/>
      <c r="K36" s="2"/>
      <c r="L36" s="2"/>
      <c r="M36" s="2"/>
      <c r="N36" s="2"/>
      <c r="O36" s="2"/>
      <c r="P36" s="2"/>
      <c r="Q36" s="2"/>
      <c r="R36" s="2"/>
      <c r="S36" s="2"/>
      <c r="T36" s="2"/>
      <c r="U36" s="2"/>
      <c r="V36" s="2"/>
      <c r="W36" s="2"/>
      <c r="X36" s="2"/>
      <c r="Y36" s="2"/>
      <c r="Z36" s="2"/>
    </row>
    <row r="37" customFormat="false" ht="15.75" hidden="false" customHeight="true" outlineLevel="0" collapsed="false">
      <c r="A37" s="2"/>
      <c r="B37" s="2"/>
      <c r="C37" s="2"/>
      <c r="D37" s="2"/>
      <c r="E37" s="2"/>
      <c r="F37" s="2"/>
      <c r="G37" s="2"/>
      <c r="H37" s="2"/>
      <c r="I37" s="2"/>
      <c r="J37" s="2"/>
      <c r="K37" s="2"/>
      <c r="L37" s="2"/>
      <c r="M37" s="2"/>
      <c r="N37" s="2"/>
      <c r="O37" s="2"/>
      <c r="P37" s="2"/>
      <c r="Q37" s="2"/>
      <c r="R37" s="2"/>
      <c r="S37" s="2"/>
      <c r="T37" s="2"/>
      <c r="U37" s="2"/>
      <c r="V37" s="2"/>
      <c r="W37" s="2"/>
      <c r="X37" s="2"/>
      <c r="Y37" s="2"/>
      <c r="Z37" s="2"/>
    </row>
    <row r="38" customFormat="false" ht="15.75" hidden="false" customHeight="true" outlineLevel="0" collapsed="false">
      <c r="A38" s="2"/>
      <c r="B38" s="2"/>
      <c r="C38" s="2"/>
      <c r="D38" s="2"/>
      <c r="E38" s="2"/>
      <c r="F38" s="2"/>
      <c r="G38" s="2"/>
      <c r="H38" s="2"/>
      <c r="I38" s="2"/>
      <c r="J38" s="2"/>
      <c r="K38" s="2"/>
      <c r="L38" s="2"/>
      <c r="M38" s="2"/>
      <c r="N38" s="2"/>
      <c r="O38" s="2"/>
      <c r="P38" s="2"/>
      <c r="Q38" s="2"/>
      <c r="R38" s="2"/>
      <c r="S38" s="2"/>
      <c r="T38" s="2"/>
      <c r="U38" s="2"/>
      <c r="V38" s="2"/>
      <c r="W38" s="2"/>
      <c r="X38" s="2"/>
      <c r="Y38" s="2"/>
      <c r="Z38" s="2"/>
    </row>
    <row r="39" customFormat="false" ht="15.75" hidden="false" customHeight="true" outlineLevel="0" collapsed="false">
      <c r="A39" s="2"/>
      <c r="B39" s="2"/>
      <c r="C39" s="2"/>
      <c r="D39" s="2"/>
      <c r="E39" s="2"/>
      <c r="F39" s="2"/>
      <c r="G39" s="2"/>
      <c r="H39" s="2"/>
      <c r="I39" s="2"/>
      <c r="J39" s="2"/>
      <c r="K39" s="2"/>
      <c r="L39" s="2"/>
      <c r="M39" s="2"/>
      <c r="N39" s="2"/>
      <c r="O39" s="2"/>
      <c r="P39" s="2"/>
      <c r="Q39" s="2"/>
      <c r="R39" s="2"/>
      <c r="S39" s="2"/>
      <c r="T39" s="2"/>
      <c r="U39" s="2"/>
      <c r="V39" s="2"/>
      <c r="W39" s="2"/>
      <c r="X39" s="2"/>
      <c r="Y39" s="2"/>
      <c r="Z39" s="2"/>
    </row>
    <row r="40" customFormat="false" ht="15.75" hidden="false" customHeight="true" outlineLevel="0" collapsed="false">
      <c r="A40" s="2"/>
      <c r="B40" s="2"/>
      <c r="C40" s="2"/>
      <c r="D40" s="2"/>
      <c r="E40" s="2"/>
      <c r="F40" s="2"/>
      <c r="G40" s="2"/>
      <c r="H40" s="2"/>
      <c r="I40" s="2"/>
      <c r="J40" s="2"/>
      <c r="K40" s="2"/>
      <c r="L40" s="2"/>
      <c r="M40" s="2"/>
      <c r="N40" s="2"/>
      <c r="O40" s="2"/>
      <c r="P40" s="2"/>
      <c r="Q40" s="2"/>
      <c r="R40" s="2"/>
      <c r="S40" s="2"/>
      <c r="T40" s="2"/>
      <c r="U40" s="2"/>
      <c r="V40" s="2"/>
      <c r="W40" s="2"/>
      <c r="X40" s="2"/>
      <c r="Y40" s="2"/>
      <c r="Z40" s="2"/>
    </row>
    <row r="41" customFormat="false" ht="15.75" hidden="false" customHeight="true" outlineLevel="0" collapsed="false">
      <c r="A41" s="2"/>
      <c r="B41" s="2"/>
      <c r="C41" s="2"/>
      <c r="D41" s="2"/>
      <c r="E41" s="2"/>
      <c r="F41" s="2"/>
      <c r="G41" s="2"/>
      <c r="H41" s="2"/>
      <c r="I41" s="2"/>
      <c r="J41" s="2"/>
      <c r="K41" s="2"/>
      <c r="L41" s="2"/>
      <c r="M41" s="2"/>
      <c r="N41" s="2"/>
      <c r="O41" s="2"/>
      <c r="P41" s="2"/>
      <c r="Q41" s="2"/>
      <c r="R41" s="2"/>
      <c r="S41" s="2"/>
      <c r="T41" s="2"/>
      <c r="U41" s="2"/>
      <c r="V41" s="2"/>
      <c r="W41" s="2"/>
      <c r="X41" s="2"/>
      <c r="Y41" s="2"/>
      <c r="Z41" s="2"/>
    </row>
    <row r="42" customFormat="false" ht="15.75" hidden="false" customHeight="true" outlineLevel="0" collapsed="false">
      <c r="A42" s="2"/>
      <c r="B42" s="2"/>
      <c r="C42" s="2"/>
      <c r="D42" s="2"/>
      <c r="E42" s="2"/>
      <c r="F42" s="2"/>
      <c r="G42" s="2"/>
      <c r="H42" s="2"/>
      <c r="I42" s="2"/>
      <c r="J42" s="2"/>
      <c r="K42" s="2"/>
      <c r="L42" s="2"/>
      <c r="M42" s="2"/>
      <c r="N42" s="2"/>
      <c r="O42" s="2"/>
      <c r="P42" s="2"/>
      <c r="Q42" s="2"/>
      <c r="R42" s="2"/>
      <c r="S42" s="2"/>
      <c r="T42" s="2"/>
      <c r="U42" s="2"/>
      <c r="V42" s="2"/>
      <c r="W42" s="2"/>
      <c r="X42" s="2"/>
      <c r="Y42" s="2"/>
      <c r="Z42" s="2"/>
    </row>
    <row r="43" customFormat="false" ht="15.75" hidden="false" customHeight="true" outlineLevel="0" collapsed="false">
      <c r="A43" s="2"/>
      <c r="B43" s="2"/>
      <c r="C43" s="2"/>
      <c r="D43" s="2"/>
      <c r="E43" s="2"/>
      <c r="F43" s="2"/>
      <c r="G43" s="2"/>
      <c r="H43" s="2"/>
      <c r="I43" s="2"/>
      <c r="J43" s="2"/>
      <c r="K43" s="2"/>
      <c r="L43" s="2"/>
      <c r="M43" s="2"/>
      <c r="N43" s="2"/>
      <c r="O43" s="2"/>
      <c r="P43" s="2"/>
      <c r="Q43" s="2"/>
      <c r="R43" s="2"/>
      <c r="S43" s="2"/>
      <c r="T43" s="2"/>
      <c r="U43" s="2"/>
      <c r="V43" s="2"/>
      <c r="W43" s="2"/>
      <c r="X43" s="2"/>
      <c r="Y43" s="2"/>
      <c r="Z43" s="2"/>
    </row>
    <row r="44" customFormat="false" ht="15.75" hidden="false" customHeight="true" outlineLevel="0" collapsed="false">
      <c r="A44" s="2"/>
      <c r="B44" s="2"/>
      <c r="C44" s="2"/>
      <c r="D44" s="2"/>
      <c r="E44" s="2"/>
      <c r="F44" s="2"/>
      <c r="G44" s="2"/>
      <c r="H44" s="2"/>
      <c r="I44" s="2"/>
      <c r="J44" s="2"/>
      <c r="K44" s="2"/>
      <c r="L44" s="2"/>
      <c r="M44" s="2"/>
      <c r="N44" s="2"/>
      <c r="O44" s="2"/>
      <c r="P44" s="2"/>
      <c r="Q44" s="2"/>
      <c r="R44" s="2"/>
      <c r="S44" s="2"/>
      <c r="T44" s="2"/>
      <c r="U44" s="2"/>
      <c r="V44" s="2"/>
      <c r="W44" s="2"/>
      <c r="X44" s="2"/>
      <c r="Y44" s="2"/>
      <c r="Z44" s="2"/>
    </row>
    <row r="45" customFormat="false" ht="15.75" hidden="false" customHeight="true" outlineLevel="0" collapsed="false">
      <c r="A45" s="2"/>
      <c r="B45" s="2"/>
      <c r="C45" s="2"/>
      <c r="D45" s="2"/>
      <c r="E45" s="2"/>
      <c r="F45" s="2"/>
      <c r="G45" s="2"/>
      <c r="H45" s="2"/>
      <c r="I45" s="2"/>
      <c r="J45" s="2"/>
      <c r="K45" s="2"/>
      <c r="L45" s="2"/>
      <c r="M45" s="2"/>
      <c r="N45" s="2"/>
      <c r="O45" s="2"/>
      <c r="P45" s="2"/>
      <c r="Q45" s="2"/>
      <c r="R45" s="2"/>
      <c r="S45" s="2"/>
      <c r="T45" s="2"/>
      <c r="U45" s="2"/>
      <c r="V45" s="2"/>
      <c r="W45" s="2"/>
      <c r="X45" s="2"/>
      <c r="Y45" s="2"/>
      <c r="Z45" s="2"/>
    </row>
    <row r="46" customFormat="false" ht="15.75" hidden="false" customHeight="true" outlineLevel="0" collapsed="false">
      <c r="A46" s="2"/>
      <c r="B46" s="2"/>
      <c r="C46" s="2"/>
      <c r="D46" s="2"/>
      <c r="E46" s="2"/>
      <c r="F46" s="2"/>
      <c r="G46" s="2"/>
      <c r="H46" s="2"/>
      <c r="I46" s="2"/>
      <c r="J46" s="2"/>
      <c r="K46" s="2"/>
      <c r="L46" s="2"/>
      <c r="M46" s="2"/>
      <c r="N46" s="2"/>
      <c r="O46" s="2"/>
      <c r="P46" s="2"/>
      <c r="Q46" s="2"/>
      <c r="R46" s="2"/>
      <c r="S46" s="2"/>
      <c r="T46" s="2"/>
      <c r="U46" s="2"/>
      <c r="V46" s="2"/>
      <c r="W46" s="2"/>
      <c r="X46" s="2"/>
      <c r="Y46" s="2"/>
      <c r="Z46" s="2"/>
    </row>
    <row r="47" customFormat="false" ht="15.75" hidden="false" customHeight="true" outlineLevel="0" collapsed="false">
      <c r="A47" s="2"/>
      <c r="B47" s="2"/>
      <c r="C47" s="2"/>
      <c r="D47" s="2"/>
      <c r="E47" s="2"/>
      <c r="F47" s="2"/>
      <c r="G47" s="2"/>
      <c r="H47" s="2"/>
      <c r="I47" s="2"/>
      <c r="J47" s="2"/>
      <c r="K47" s="2"/>
      <c r="L47" s="2"/>
      <c r="M47" s="2"/>
      <c r="N47" s="2"/>
      <c r="O47" s="2"/>
      <c r="P47" s="2"/>
      <c r="Q47" s="2"/>
      <c r="R47" s="2"/>
      <c r="S47" s="2"/>
      <c r="T47" s="2"/>
      <c r="U47" s="2"/>
      <c r="V47" s="2"/>
      <c r="W47" s="2"/>
      <c r="X47" s="2"/>
      <c r="Y47" s="2"/>
      <c r="Z47" s="2"/>
    </row>
    <row r="48" customFormat="false" ht="15.75" hidden="false" customHeight="true" outlineLevel="0" collapsed="false">
      <c r="A48" s="2"/>
      <c r="B48" s="2"/>
      <c r="C48" s="2"/>
      <c r="D48" s="2"/>
      <c r="E48" s="2"/>
      <c r="F48" s="2"/>
      <c r="G48" s="2"/>
      <c r="H48" s="2"/>
      <c r="I48" s="2"/>
      <c r="J48" s="2"/>
      <c r="K48" s="2"/>
      <c r="L48" s="2"/>
      <c r="M48" s="2"/>
      <c r="N48" s="2"/>
      <c r="O48" s="2"/>
      <c r="P48" s="2"/>
      <c r="Q48" s="2"/>
      <c r="R48" s="2"/>
      <c r="S48" s="2"/>
      <c r="T48" s="2"/>
      <c r="U48" s="2"/>
      <c r="V48" s="2"/>
      <c r="W48" s="2"/>
      <c r="X48" s="2"/>
      <c r="Y48" s="2"/>
      <c r="Z48" s="2"/>
    </row>
    <row r="49" customFormat="false" ht="15.75" hidden="false" customHeight="true" outlineLevel="0" collapsed="false">
      <c r="A49" s="2"/>
      <c r="B49" s="2"/>
      <c r="C49" s="2"/>
      <c r="D49" s="2"/>
      <c r="E49" s="2"/>
      <c r="F49" s="2"/>
      <c r="G49" s="2"/>
      <c r="H49" s="2"/>
      <c r="I49" s="2"/>
      <c r="J49" s="2"/>
      <c r="K49" s="2"/>
      <c r="L49" s="2"/>
      <c r="M49" s="2"/>
      <c r="N49" s="2"/>
      <c r="O49" s="2"/>
      <c r="P49" s="2"/>
      <c r="Q49" s="2"/>
      <c r="R49" s="2"/>
      <c r="S49" s="2"/>
      <c r="T49" s="2"/>
      <c r="U49" s="2"/>
      <c r="V49" s="2"/>
      <c r="W49" s="2"/>
      <c r="X49" s="2"/>
      <c r="Y49" s="2"/>
      <c r="Z49" s="2"/>
    </row>
    <row r="50" customFormat="false" ht="15.75" hidden="false" customHeight="true" outlineLevel="0" collapsed="false">
      <c r="A50" s="2"/>
      <c r="B50" s="2"/>
      <c r="C50" s="2"/>
      <c r="D50" s="2"/>
      <c r="E50" s="2"/>
      <c r="F50" s="2"/>
      <c r="G50" s="2"/>
      <c r="H50" s="2"/>
      <c r="I50" s="2"/>
      <c r="J50" s="2"/>
      <c r="K50" s="2"/>
      <c r="L50" s="2"/>
      <c r="M50" s="2"/>
      <c r="N50" s="2"/>
      <c r="O50" s="2"/>
      <c r="P50" s="2"/>
      <c r="Q50" s="2"/>
      <c r="R50" s="2"/>
      <c r="S50" s="2"/>
      <c r="T50" s="2"/>
      <c r="U50" s="2"/>
      <c r="V50" s="2"/>
      <c r="W50" s="2"/>
      <c r="X50" s="2"/>
      <c r="Y50" s="2"/>
      <c r="Z50" s="2"/>
    </row>
    <row r="51" customFormat="false" ht="15.75" hidden="false" customHeight="true" outlineLevel="0" collapsed="false">
      <c r="A51" s="2"/>
      <c r="B51" s="2"/>
      <c r="C51" s="2"/>
      <c r="D51" s="2"/>
      <c r="E51" s="2"/>
      <c r="F51" s="2"/>
      <c r="G51" s="2"/>
      <c r="H51" s="2"/>
      <c r="I51" s="2"/>
      <c r="J51" s="2"/>
      <c r="K51" s="2"/>
      <c r="L51" s="2"/>
      <c r="M51" s="2"/>
      <c r="N51" s="2"/>
      <c r="O51" s="2"/>
      <c r="P51" s="2"/>
      <c r="Q51" s="2"/>
      <c r="R51" s="2"/>
      <c r="S51" s="2"/>
      <c r="T51" s="2"/>
      <c r="U51" s="2"/>
      <c r="V51" s="2"/>
      <c r="W51" s="2"/>
      <c r="X51" s="2"/>
      <c r="Y51" s="2"/>
      <c r="Z51" s="2"/>
    </row>
    <row r="52" customFormat="false" ht="15.75" hidden="false" customHeight="true" outlineLevel="0" collapsed="false">
      <c r="A52" s="2"/>
      <c r="B52" s="2"/>
      <c r="C52" s="2"/>
      <c r="D52" s="2"/>
      <c r="E52" s="2"/>
      <c r="F52" s="2"/>
      <c r="G52" s="2"/>
      <c r="H52" s="2"/>
      <c r="I52" s="2"/>
      <c r="J52" s="2"/>
      <c r="K52" s="2"/>
      <c r="L52" s="2"/>
      <c r="M52" s="2"/>
      <c r="N52" s="2"/>
      <c r="O52" s="2"/>
      <c r="P52" s="2"/>
      <c r="Q52" s="2"/>
      <c r="R52" s="2"/>
      <c r="S52" s="2"/>
      <c r="T52" s="2"/>
      <c r="U52" s="2"/>
      <c r="V52" s="2"/>
      <c r="W52" s="2"/>
      <c r="X52" s="2"/>
      <c r="Y52" s="2"/>
      <c r="Z52" s="2"/>
    </row>
    <row r="53" customFormat="false" ht="15.75" hidden="false" customHeight="true" outlineLevel="0" collapsed="false">
      <c r="A53" s="2"/>
      <c r="B53" s="2"/>
      <c r="C53" s="2"/>
      <c r="D53" s="2"/>
      <c r="E53" s="2"/>
      <c r="F53" s="2"/>
      <c r="G53" s="2"/>
      <c r="H53" s="2"/>
      <c r="I53" s="2"/>
      <c r="J53" s="2"/>
      <c r="K53" s="2"/>
      <c r="L53" s="2"/>
      <c r="M53" s="2"/>
      <c r="N53" s="2"/>
      <c r="O53" s="2"/>
      <c r="P53" s="2"/>
      <c r="Q53" s="2"/>
      <c r="R53" s="2"/>
      <c r="S53" s="2"/>
      <c r="T53" s="2"/>
      <c r="U53" s="2"/>
      <c r="V53" s="2"/>
      <c r="W53" s="2"/>
      <c r="X53" s="2"/>
      <c r="Y53" s="2"/>
      <c r="Z53" s="2"/>
    </row>
    <row r="54" customFormat="false" ht="15.75" hidden="false" customHeight="true" outlineLevel="0" collapsed="false">
      <c r="A54" s="2"/>
      <c r="B54" s="2"/>
      <c r="C54" s="2"/>
      <c r="D54" s="2"/>
      <c r="E54" s="2"/>
      <c r="F54" s="2"/>
      <c r="G54" s="2"/>
      <c r="H54" s="2"/>
      <c r="I54" s="2"/>
      <c r="J54" s="2"/>
      <c r="K54" s="2"/>
      <c r="L54" s="2"/>
      <c r="M54" s="2"/>
      <c r="N54" s="2"/>
      <c r="O54" s="2"/>
      <c r="P54" s="2"/>
      <c r="Q54" s="2"/>
      <c r="R54" s="2"/>
      <c r="S54" s="2"/>
      <c r="T54" s="2"/>
      <c r="U54" s="2"/>
      <c r="V54" s="2"/>
      <c r="W54" s="2"/>
      <c r="X54" s="2"/>
      <c r="Y54" s="2"/>
      <c r="Z54" s="2"/>
    </row>
    <row r="55" customFormat="false" ht="15.75" hidden="false" customHeight="true" outlineLevel="0" collapsed="false">
      <c r="A55" s="2"/>
      <c r="B55" s="2"/>
      <c r="C55" s="2"/>
      <c r="D55" s="2"/>
      <c r="E55" s="2"/>
      <c r="F55" s="2"/>
      <c r="G55" s="2"/>
      <c r="H55" s="2"/>
      <c r="I55" s="2"/>
      <c r="J55" s="2"/>
      <c r="K55" s="2"/>
      <c r="L55" s="2"/>
      <c r="M55" s="2"/>
      <c r="N55" s="2"/>
      <c r="O55" s="2"/>
      <c r="P55" s="2"/>
      <c r="Q55" s="2"/>
      <c r="R55" s="2"/>
      <c r="S55" s="2"/>
      <c r="T55" s="2"/>
      <c r="U55" s="2"/>
      <c r="V55" s="2"/>
      <c r="W55" s="2"/>
      <c r="X55" s="2"/>
      <c r="Y55" s="2"/>
      <c r="Z55" s="2"/>
    </row>
    <row r="56" customFormat="false" ht="15.75" hidden="false" customHeight="true" outlineLevel="0" collapsed="false">
      <c r="A56" s="2"/>
      <c r="B56" s="2"/>
      <c r="C56" s="2"/>
      <c r="D56" s="2"/>
      <c r="E56" s="2"/>
      <c r="F56" s="2"/>
      <c r="G56" s="2"/>
      <c r="H56" s="2"/>
      <c r="I56" s="2"/>
      <c r="J56" s="2"/>
      <c r="K56" s="2"/>
      <c r="L56" s="2"/>
      <c r="M56" s="2"/>
      <c r="N56" s="2"/>
      <c r="O56" s="2"/>
      <c r="P56" s="2"/>
      <c r="Q56" s="2"/>
      <c r="R56" s="2"/>
      <c r="S56" s="2"/>
      <c r="T56" s="2"/>
      <c r="U56" s="2"/>
      <c r="V56" s="2"/>
      <c r="W56" s="2"/>
      <c r="X56" s="2"/>
      <c r="Y56" s="2"/>
      <c r="Z56" s="2"/>
    </row>
    <row r="57" customFormat="false" ht="15.75" hidden="false" customHeight="true" outlineLevel="0" collapsed="false">
      <c r="A57" s="2"/>
      <c r="B57" s="2"/>
      <c r="C57" s="2"/>
      <c r="D57" s="2"/>
      <c r="E57" s="2"/>
      <c r="F57" s="2"/>
      <c r="G57" s="2"/>
      <c r="H57" s="2"/>
      <c r="I57" s="2"/>
      <c r="J57" s="2"/>
      <c r="K57" s="2"/>
      <c r="L57" s="2"/>
      <c r="M57" s="2"/>
      <c r="N57" s="2"/>
      <c r="O57" s="2"/>
      <c r="P57" s="2"/>
      <c r="Q57" s="2"/>
      <c r="R57" s="2"/>
      <c r="S57" s="2"/>
      <c r="T57" s="2"/>
      <c r="U57" s="2"/>
      <c r="V57" s="2"/>
      <c r="W57" s="2"/>
      <c r="X57" s="2"/>
      <c r="Y57" s="2"/>
      <c r="Z57" s="2"/>
    </row>
    <row r="58" customFormat="false" ht="15.75" hidden="false" customHeight="true" outlineLevel="0" collapsed="false">
      <c r="A58" s="2"/>
      <c r="B58" s="2"/>
      <c r="C58" s="2"/>
      <c r="D58" s="2"/>
      <c r="E58" s="2"/>
      <c r="F58" s="2"/>
      <c r="G58" s="2"/>
      <c r="H58" s="2"/>
      <c r="I58" s="2"/>
      <c r="J58" s="2"/>
      <c r="K58" s="2"/>
      <c r="L58" s="2"/>
      <c r="M58" s="2"/>
      <c r="N58" s="2"/>
      <c r="O58" s="2"/>
      <c r="P58" s="2"/>
      <c r="Q58" s="2"/>
      <c r="R58" s="2"/>
      <c r="S58" s="2"/>
      <c r="T58" s="2"/>
      <c r="U58" s="2"/>
      <c r="V58" s="2"/>
      <c r="W58" s="2"/>
      <c r="X58" s="2"/>
      <c r="Y58" s="2"/>
      <c r="Z58" s="2"/>
    </row>
    <row r="59" customFormat="false" ht="15.75" hidden="false" customHeight="true" outlineLevel="0" collapsed="false">
      <c r="A59" s="2"/>
      <c r="B59" s="2"/>
      <c r="C59" s="2"/>
      <c r="D59" s="2"/>
      <c r="E59" s="2"/>
      <c r="F59" s="2"/>
      <c r="G59" s="2"/>
      <c r="H59" s="2"/>
      <c r="I59" s="2"/>
      <c r="J59" s="2"/>
      <c r="K59" s="2"/>
      <c r="L59" s="2"/>
      <c r="M59" s="2"/>
      <c r="N59" s="2"/>
      <c r="O59" s="2"/>
      <c r="P59" s="2"/>
      <c r="Q59" s="2"/>
      <c r="R59" s="2"/>
      <c r="S59" s="2"/>
      <c r="T59" s="2"/>
      <c r="U59" s="2"/>
      <c r="V59" s="2"/>
      <c r="W59" s="2"/>
      <c r="X59" s="2"/>
      <c r="Y59" s="2"/>
      <c r="Z59" s="2"/>
    </row>
    <row r="60" customFormat="false" ht="15.75" hidden="false" customHeight="true" outlineLevel="0" collapsed="false">
      <c r="A60" s="2"/>
      <c r="B60" s="2"/>
      <c r="C60" s="2"/>
      <c r="D60" s="2"/>
      <c r="E60" s="2"/>
      <c r="F60" s="2"/>
      <c r="G60" s="2"/>
      <c r="H60" s="2"/>
      <c r="I60" s="2"/>
      <c r="J60" s="2"/>
      <c r="K60" s="2"/>
      <c r="L60" s="2"/>
      <c r="M60" s="2"/>
      <c r="N60" s="2"/>
      <c r="O60" s="2"/>
      <c r="P60" s="2"/>
      <c r="Q60" s="2"/>
      <c r="R60" s="2"/>
      <c r="S60" s="2"/>
      <c r="T60" s="2"/>
      <c r="U60" s="2"/>
      <c r="V60" s="2"/>
      <c r="W60" s="2"/>
      <c r="X60" s="2"/>
      <c r="Y60" s="2"/>
      <c r="Z60" s="2"/>
    </row>
    <row r="61" customFormat="false" ht="15.75" hidden="false" customHeight="true" outlineLevel="0" collapsed="false">
      <c r="A61" s="2"/>
      <c r="B61" s="2"/>
      <c r="C61" s="2"/>
      <c r="D61" s="2"/>
      <c r="E61" s="2"/>
      <c r="F61" s="2"/>
      <c r="G61" s="2"/>
      <c r="H61" s="2"/>
      <c r="I61" s="2"/>
      <c r="J61" s="2"/>
      <c r="K61" s="2"/>
      <c r="L61" s="2"/>
      <c r="M61" s="2"/>
      <c r="N61" s="2"/>
      <c r="O61" s="2"/>
      <c r="P61" s="2"/>
      <c r="Q61" s="2"/>
      <c r="R61" s="2"/>
      <c r="S61" s="2"/>
      <c r="T61" s="2"/>
      <c r="U61" s="2"/>
      <c r="V61" s="2"/>
      <c r="W61" s="2"/>
      <c r="X61" s="2"/>
      <c r="Y61" s="2"/>
      <c r="Z61" s="2"/>
    </row>
    <row r="62" customFormat="false" ht="15.75" hidden="false" customHeight="true" outlineLevel="0" collapsed="false">
      <c r="A62" s="2"/>
      <c r="B62" s="2"/>
      <c r="C62" s="2"/>
      <c r="D62" s="2"/>
      <c r="E62" s="2"/>
      <c r="F62" s="2"/>
      <c r="G62" s="2"/>
      <c r="H62" s="2"/>
      <c r="I62" s="2"/>
      <c r="J62" s="2"/>
      <c r="K62" s="2"/>
      <c r="L62" s="2"/>
      <c r="M62" s="2"/>
      <c r="N62" s="2"/>
      <c r="O62" s="2"/>
      <c r="P62" s="2"/>
      <c r="Q62" s="2"/>
      <c r="R62" s="2"/>
      <c r="S62" s="2"/>
      <c r="T62" s="2"/>
      <c r="U62" s="2"/>
      <c r="V62" s="2"/>
      <c r="W62" s="2"/>
      <c r="X62" s="2"/>
      <c r="Y62" s="2"/>
      <c r="Z62" s="2"/>
    </row>
    <row r="63" customFormat="false" ht="15.75" hidden="false" customHeight="true" outlineLevel="0" collapsed="false">
      <c r="A63" s="2"/>
      <c r="B63" s="2"/>
      <c r="C63" s="2"/>
      <c r="D63" s="2"/>
      <c r="E63" s="2"/>
      <c r="F63" s="2"/>
      <c r="G63" s="2"/>
      <c r="H63" s="2"/>
      <c r="I63" s="2"/>
      <c r="J63" s="2"/>
      <c r="K63" s="2"/>
      <c r="L63" s="2"/>
      <c r="M63" s="2"/>
      <c r="N63" s="2"/>
      <c r="O63" s="2"/>
      <c r="P63" s="2"/>
      <c r="Q63" s="2"/>
      <c r="R63" s="2"/>
      <c r="S63" s="2"/>
      <c r="T63" s="2"/>
      <c r="U63" s="2"/>
      <c r="V63" s="2"/>
      <c r="W63" s="2"/>
      <c r="X63" s="2"/>
      <c r="Y63" s="2"/>
      <c r="Z63" s="2"/>
    </row>
    <row r="64" customFormat="false" ht="15.75" hidden="false" customHeight="true" outlineLevel="0" collapsed="false">
      <c r="A64" s="2"/>
      <c r="B64" s="2"/>
      <c r="C64" s="2"/>
      <c r="D64" s="2"/>
      <c r="E64" s="2"/>
      <c r="F64" s="2"/>
      <c r="G64" s="2"/>
      <c r="H64" s="2"/>
      <c r="I64" s="2"/>
      <c r="J64" s="2"/>
      <c r="K64" s="2"/>
      <c r="L64" s="2"/>
      <c r="M64" s="2"/>
      <c r="N64" s="2"/>
      <c r="O64" s="2"/>
      <c r="P64" s="2"/>
      <c r="Q64" s="2"/>
      <c r="R64" s="2"/>
      <c r="S64" s="2"/>
      <c r="T64" s="2"/>
      <c r="U64" s="2"/>
      <c r="V64" s="2"/>
      <c r="W64" s="2"/>
      <c r="X64" s="2"/>
      <c r="Y64" s="2"/>
      <c r="Z64" s="2"/>
    </row>
    <row r="65" customFormat="false" ht="15.75" hidden="false" customHeight="true" outlineLevel="0" collapsed="false">
      <c r="A65" s="2"/>
      <c r="B65" s="2"/>
      <c r="C65" s="2"/>
      <c r="D65" s="2"/>
      <c r="E65" s="2"/>
      <c r="F65" s="2"/>
      <c r="G65" s="2"/>
      <c r="H65" s="2"/>
      <c r="I65" s="2"/>
      <c r="J65" s="2"/>
      <c r="K65" s="2"/>
      <c r="L65" s="2"/>
      <c r="M65" s="2"/>
      <c r="N65" s="2"/>
      <c r="O65" s="2"/>
      <c r="P65" s="2"/>
      <c r="Q65" s="2"/>
      <c r="R65" s="2"/>
      <c r="S65" s="2"/>
      <c r="T65" s="2"/>
      <c r="U65" s="2"/>
      <c r="V65" s="2"/>
      <c r="W65" s="2"/>
      <c r="X65" s="2"/>
      <c r="Y65" s="2"/>
      <c r="Z65" s="2"/>
    </row>
    <row r="66" customFormat="false" ht="15.75" hidden="false" customHeight="true" outlineLevel="0" collapsed="false">
      <c r="A66" s="2"/>
      <c r="B66" s="2"/>
      <c r="C66" s="2"/>
      <c r="D66" s="2"/>
      <c r="E66" s="2"/>
      <c r="F66" s="2"/>
      <c r="G66" s="2"/>
      <c r="H66" s="2"/>
      <c r="I66" s="2"/>
      <c r="J66" s="2"/>
      <c r="K66" s="2"/>
      <c r="L66" s="2"/>
      <c r="M66" s="2"/>
      <c r="N66" s="2"/>
      <c r="O66" s="2"/>
      <c r="P66" s="2"/>
      <c r="Q66" s="2"/>
      <c r="R66" s="2"/>
      <c r="S66" s="2"/>
      <c r="T66" s="2"/>
      <c r="U66" s="2"/>
      <c r="V66" s="2"/>
      <c r="W66" s="2"/>
      <c r="X66" s="2"/>
      <c r="Y66" s="2"/>
      <c r="Z66" s="2"/>
    </row>
    <row r="67" customFormat="false" ht="15.75" hidden="false" customHeight="true" outlineLevel="0" collapsed="false">
      <c r="A67" s="2"/>
      <c r="B67" s="2"/>
      <c r="C67" s="2"/>
      <c r="D67" s="2"/>
      <c r="E67" s="2"/>
      <c r="F67" s="2"/>
      <c r="G67" s="2"/>
      <c r="H67" s="2"/>
      <c r="I67" s="2"/>
      <c r="J67" s="2"/>
      <c r="K67" s="2"/>
      <c r="L67" s="2"/>
      <c r="M67" s="2"/>
      <c r="N67" s="2"/>
      <c r="O67" s="2"/>
      <c r="P67" s="2"/>
      <c r="Q67" s="2"/>
      <c r="R67" s="2"/>
      <c r="S67" s="2"/>
      <c r="T67" s="2"/>
      <c r="U67" s="2"/>
      <c r="V67" s="2"/>
      <c r="W67" s="2"/>
      <c r="X67" s="2"/>
      <c r="Y67" s="2"/>
      <c r="Z67" s="2"/>
    </row>
    <row r="68" customFormat="false" ht="15.75" hidden="false" customHeight="true" outlineLevel="0" collapsed="false">
      <c r="A68" s="2"/>
      <c r="B68" s="2"/>
      <c r="C68" s="2"/>
      <c r="D68" s="2"/>
      <c r="E68" s="2"/>
      <c r="F68" s="2"/>
      <c r="G68" s="2"/>
      <c r="H68" s="2"/>
      <c r="I68" s="2"/>
      <c r="J68" s="2"/>
      <c r="K68" s="2"/>
      <c r="L68" s="2"/>
      <c r="M68" s="2"/>
      <c r="N68" s="2"/>
      <c r="O68" s="2"/>
      <c r="P68" s="2"/>
      <c r="Q68" s="2"/>
      <c r="R68" s="2"/>
      <c r="S68" s="2"/>
      <c r="T68" s="2"/>
      <c r="U68" s="2"/>
      <c r="V68" s="2"/>
      <c r="W68" s="2"/>
      <c r="X68" s="2"/>
      <c r="Y68" s="2"/>
      <c r="Z68" s="2"/>
    </row>
    <row r="69" customFormat="false" ht="15.75" hidden="false" customHeight="true" outlineLevel="0" collapsed="false">
      <c r="A69" s="2"/>
      <c r="B69" s="2"/>
      <c r="C69" s="2"/>
      <c r="D69" s="2"/>
      <c r="E69" s="2"/>
      <c r="F69" s="2"/>
      <c r="G69" s="2"/>
      <c r="H69" s="2"/>
      <c r="I69" s="2"/>
      <c r="J69" s="2"/>
      <c r="K69" s="2"/>
      <c r="L69" s="2"/>
      <c r="M69" s="2"/>
      <c r="N69" s="2"/>
      <c r="O69" s="2"/>
      <c r="P69" s="2"/>
      <c r="Q69" s="2"/>
      <c r="R69" s="2"/>
      <c r="S69" s="2"/>
      <c r="T69" s="2"/>
      <c r="U69" s="2"/>
      <c r="V69" s="2"/>
      <c r="W69" s="2"/>
      <c r="X69" s="2"/>
      <c r="Y69" s="2"/>
      <c r="Z69" s="2"/>
    </row>
    <row r="70" customFormat="false" ht="15.75" hidden="false" customHeight="true" outlineLevel="0" collapsed="false">
      <c r="A70" s="2"/>
      <c r="B70" s="2"/>
      <c r="C70" s="2"/>
      <c r="D70" s="2"/>
      <c r="E70" s="2"/>
      <c r="F70" s="2"/>
      <c r="G70" s="2"/>
      <c r="H70" s="2"/>
      <c r="I70" s="2"/>
      <c r="J70" s="2"/>
      <c r="K70" s="2"/>
      <c r="L70" s="2"/>
      <c r="M70" s="2"/>
      <c r="N70" s="2"/>
      <c r="O70" s="2"/>
      <c r="P70" s="2"/>
      <c r="Q70" s="2"/>
      <c r="R70" s="2"/>
      <c r="S70" s="2"/>
      <c r="T70" s="2"/>
      <c r="U70" s="2"/>
      <c r="V70" s="2"/>
      <c r="W70" s="2"/>
      <c r="X70" s="2"/>
      <c r="Y70" s="2"/>
      <c r="Z70" s="2"/>
    </row>
    <row r="71" customFormat="false" ht="15.75" hidden="false" customHeight="true" outlineLevel="0" collapsed="false">
      <c r="A71" s="2"/>
      <c r="B71" s="2"/>
      <c r="C71" s="2"/>
      <c r="D71" s="2"/>
      <c r="E71" s="2"/>
      <c r="F71" s="2"/>
      <c r="G71" s="2"/>
      <c r="H71" s="2"/>
      <c r="I71" s="2"/>
      <c r="J71" s="2"/>
      <c r="K71" s="2"/>
      <c r="L71" s="2"/>
      <c r="M71" s="2"/>
      <c r="N71" s="2"/>
      <c r="O71" s="2"/>
      <c r="P71" s="2"/>
      <c r="Q71" s="2"/>
      <c r="R71" s="2"/>
      <c r="S71" s="2"/>
      <c r="T71" s="2"/>
      <c r="U71" s="2"/>
      <c r="V71" s="2"/>
      <c r="W71" s="2"/>
      <c r="X71" s="2"/>
      <c r="Y71" s="2"/>
      <c r="Z71" s="2"/>
    </row>
    <row r="72" customFormat="false" ht="15.75" hidden="false" customHeight="true" outlineLevel="0" collapsed="false">
      <c r="A72" s="2"/>
      <c r="B72" s="2"/>
      <c r="C72" s="2"/>
      <c r="D72" s="2"/>
      <c r="E72" s="2"/>
      <c r="F72" s="2"/>
      <c r="G72" s="2"/>
      <c r="H72" s="2"/>
      <c r="I72" s="2"/>
      <c r="J72" s="2"/>
      <c r="K72" s="2"/>
      <c r="L72" s="2"/>
      <c r="M72" s="2"/>
      <c r="N72" s="2"/>
      <c r="O72" s="2"/>
      <c r="P72" s="2"/>
      <c r="Q72" s="2"/>
      <c r="R72" s="2"/>
      <c r="S72" s="2"/>
      <c r="T72" s="2"/>
      <c r="U72" s="2"/>
      <c r="V72" s="2"/>
      <c r="W72" s="2"/>
      <c r="X72" s="2"/>
      <c r="Y72" s="2"/>
      <c r="Z72" s="2"/>
    </row>
    <row r="73" customFormat="false" ht="15.75" hidden="false" customHeight="true" outlineLevel="0" collapsed="false">
      <c r="A73" s="2"/>
      <c r="B73" s="2"/>
      <c r="C73" s="2"/>
      <c r="D73" s="2"/>
      <c r="E73" s="2"/>
      <c r="F73" s="2"/>
      <c r="G73" s="2"/>
      <c r="H73" s="2"/>
      <c r="I73" s="2"/>
      <c r="J73" s="2"/>
      <c r="K73" s="2"/>
      <c r="L73" s="2"/>
      <c r="M73" s="2"/>
      <c r="N73" s="2"/>
      <c r="O73" s="2"/>
      <c r="P73" s="2"/>
      <c r="Q73" s="2"/>
      <c r="R73" s="2"/>
      <c r="S73" s="2"/>
      <c r="T73" s="2"/>
      <c r="U73" s="2"/>
      <c r="V73" s="2"/>
      <c r="W73" s="2"/>
      <c r="X73" s="2"/>
      <c r="Y73" s="2"/>
      <c r="Z73" s="2"/>
    </row>
    <row r="74" customFormat="false" ht="15.75" hidden="false" customHeight="true" outlineLevel="0" collapsed="false">
      <c r="A74" s="2"/>
      <c r="B74" s="2"/>
      <c r="C74" s="2"/>
      <c r="D74" s="2"/>
      <c r="E74" s="2"/>
      <c r="F74" s="2"/>
      <c r="G74" s="2"/>
      <c r="H74" s="2"/>
      <c r="I74" s="2"/>
      <c r="J74" s="2"/>
      <c r="K74" s="2"/>
      <c r="L74" s="2"/>
      <c r="M74" s="2"/>
      <c r="N74" s="2"/>
      <c r="O74" s="2"/>
      <c r="P74" s="2"/>
      <c r="Q74" s="2"/>
      <c r="R74" s="2"/>
      <c r="S74" s="2"/>
      <c r="T74" s="2"/>
      <c r="U74" s="2"/>
      <c r="V74" s="2"/>
      <c r="W74" s="2"/>
      <c r="X74" s="2"/>
      <c r="Y74" s="2"/>
      <c r="Z74" s="2"/>
    </row>
    <row r="75" customFormat="false" ht="15.75" hidden="false" customHeight="true" outlineLevel="0" collapsed="false">
      <c r="A75" s="2"/>
      <c r="B75" s="2"/>
      <c r="C75" s="2"/>
      <c r="D75" s="2"/>
      <c r="E75" s="2"/>
      <c r="F75" s="2"/>
      <c r="G75" s="2"/>
      <c r="H75" s="2"/>
      <c r="I75" s="2"/>
      <c r="J75" s="2"/>
      <c r="K75" s="2"/>
      <c r="L75" s="2"/>
      <c r="M75" s="2"/>
      <c r="N75" s="2"/>
      <c r="O75" s="2"/>
      <c r="P75" s="2"/>
      <c r="Q75" s="2"/>
      <c r="R75" s="2"/>
      <c r="S75" s="2"/>
      <c r="T75" s="2"/>
      <c r="U75" s="2"/>
      <c r="V75" s="2"/>
      <c r="W75" s="2"/>
      <c r="X75" s="2"/>
      <c r="Y75" s="2"/>
      <c r="Z75" s="2"/>
    </row>
    <row r="76" customFormat="false" ht="15.75" hidden="false" customHeight="true" outlineLevel="0" collapsed="false">
      <c r="A76" s="2"/>
      <c r="B76" s="2"/>
      <c r="C76" s="2"/>
      <c r="D76" s="2"/>
      <c r="E76" s="2"/>
      <c r="F76" s="2"/>
      <c r="G76" s="2"/>
      <c r="H76" s="2"/>
      <c r="I76" s="2"/>
      <c r="J76" s="2"/>
      <c r="K76" s="2"/>
      <c r="L76" s="2"/>
      <c r="M76" s="2"/>
      <c r="N76" s="2"/>
      <c r="O76" s="2"/>
      <c r="P76" s="2"/>
      <c r="Q76" s="2"/>
      <c r="R76" s="2"/>
      <c r="S76" s="2"/>
      <c r="T76" s="2"/>
      <c r="U76" s="2"/>
      <c r="V76" s="2"/>
      <c r="W76" s="2"/>
      <c r="X76" s="2"/>
      <c r="Y76" s="2"/>
      <c r="Z76" s="2"/>
    </row>
    <row r="77" customFormat="false" ht="15.75" hidden="false" customHeight="true" outlineLevel="0" collapsed="false">
      <c r="A77" s="2"/>
      <c r="B77" s="2"/>
      <c r="C77" s="2"/>
      <c r="D77" s="2"/>
      <c r="E77" s="2"/>
      <c r="F77" s="2"/>
      <c r="G77" s="2"/>
      <c r="H77" s="2"/>
      <c r="I77" s="2"/>
      <c r="J77" s="2"/>
      <c r="K77" s="2"/>
      <c r="L77" s="2"/>
      <c r="M77" s="2"/>
      <c r="N77" s="2"/>
      <c r="O77" s="2"/>
      <c r="P77" s="2"/>
      <c r="Q77" s="2"/>
      <c r="R77" s="2"/>
      <c r="S77" s="2"/>
      <c r="T77" s="2"/>
      <c r="U77" s="2"/>
      <c r="V77" s="2"/>
      <c r="W77" s="2"/>
      <c r="X77" s="2"/>
      <c r="Y77" s="2"/>
      <c r="Z77" s="2"/>
    </row>
    <row r="78" customFormat="false" ht="15.75" hidden="false" customHeight="true" outlineLevel="0" collapsed="false">
      <c r="A78" s="2"/>
      <c r="B78" s="2"/>
      <c r="C78" s="2"/>
      <c r="D78" s="2"/>
      <c r="E78" s="2"/>
      <c r="F78" s="2"/>
      <c r="G78" s="2"/>
      <c r="H78" s="2"/>
      <c r="I78" s="2"/>
      <c r="J78" s="2"/>
      <c r="K78" s="2"/>
      <c r="L78" s="2"/>
      <c r="M78" s="2"/>
      <c r="N78" s="2"/>
      <c r="O78" s="2"/>
      <c r="P78" s="2"/>
      <c r="Q78" s="2"/>
      <c r="R78" s="2"/>
      <c r="S78" s="2"/>
      <c r="T78" s="2"/>
      <c r="U78" s="2"/>
      <c r="V78" s="2"/>
      <c r="W78" s="2"/>
      <c r="X78" s="2"/>
      <c r="Y78" s="2"/>
      <c r="Z78" s="2"/>
    </row>
    <row r="79" customFormat="false" ht="15.75" hidden="false" customHeight="true" outlineLevel="0" collapsed="false">
      <c r="A79" s="2"/>
      <c r="B79" s="2"/>
      <c r="C79" s="2"/>
      <c r="D79" s="2"/>
      <c r="E79" s="2"/>
      <c r="F79" s="2"/>
      <c r="G79" s="2"/>
      <c r="H79" s="2"/>
      <c r="I79" s="2"/>
      <c r="J79" s="2"/>
      <c r="K79" s="2"/>
      <c r="L79" s="2"/>
      <c r="M79" s="2"/>
      <c r="N79" s="2"/>
      <c r="O79" s="2"/>
      <c r="P79" s="2"/>
      <c r="Q79" s="2"/>
      <c r="R79" s="2"/>
      <c r="S79" s="2"/>
      <c r="T79" s="2"/>
      <c r="U79" s="2"/>
      <c r="V79" s="2"/>
      <c r="W79" s="2"/>
      <c r="X79" s="2"/>
      <c r="Y79" s="2"/>
      <c r="Z79" s="2"/>
    </row>
    <row r="80" customFormat="false" ht="15.75" hidden="false" customHeight="true" outlineLevel="0" collapsed="false">
      <c r="A80" s="2"/>
      <c r="B80" s="2"/>
      <c r="C80" s="2"/>
      <c r="D80" s="2"/>
      <c r="E80" s="2"/>
      <c r="F80" s="2"/>
      <c r="G80" s="2"/>
      <c r="H80" s="2"/>
      <c r="I80" s="2"/>
      <c r="J80" s="2"/>
      <c r="K80" s="2"/>
      <c r="L80" s="2"/>
      <c r="M80" s="2"/>
      <c r="N80" s="2"/>
      <c r="O80" s="2"/>
      <c r="P80" s="2"/>
      <c r="Q80" s="2"/>
      <c r="R80" s="2"/>
      <c r="S80" s="2"/>
      <c r="T80" s="2"/>
      <c r="U80" s="2"/>
      <c r="V80" s="2"/>
      <c r="W80" s="2"/>
      <c r="X80" s="2"/>
      <c r="Y80" s="2"/>
      <c r="Z80" s="2"/>
    </row>
    <row r="81" customFormat="false" ht="15.75" hidden="false" customHeight="true" outlineLevel="0" collapsed="false">
      <c r="A81" s="2"/>
      <c r="B81" s="2"/>
      <c r="C81" s="2"/>
      <c r="D81" s="2"/>
      <c r="E81" s="2"/>
      <c r="F81" s="2"/>
      <c r="G81" s="2"/>
      <c r="H81" s="2"/>
      <c r="I81" s="2"/>
      <c r="J81" s="2"/>
      <c r="K81" s="2"/>
      <c r="L81" s="2"/>
      <c r="M81" s="2"/>
      <c r="N81" s="2"/>
      <c r="O81" s="2"/>
      <c r="P81" s="2"/>
      <c r="Q81" s="2"/>
      <c r="R81" s="2"/>
      <c r="S81" s="2"/>
      <c r="T81" s="2"/>
      <c r="U81" s="2"/>
      <c r="V81" s="2"/>
      <c r="W81" s="2"/>
      <c r="X81" s="2"/>
      <c r="Y81" s="2"/>
      <c r="Z81" s="2"/>
    </row>
    <row r="82" customFormat="false" ht="15.75" hidden="false" customHeight="true" outlineLevel="0" collapsed="false">
      <c r="A82" s="2"/>
      <c r="B82" s="2"/>
      <c r="C82" s="2"/>
      <c r="D82" s="2"/>
      <c r="E82" s="2"/>
      <c r="F82" s="2"/>
      <c r="G82" s="2"/>
      <c r="H82" s="2"/>
      <c r="I82" s="2"/>
      <c r="J82" s="2"/>
      <c r="K82" s="2"/>
      <c r="L82" s="2"/>
      <c r="M82" s="2"/>
      <c r="N82" s="2"/>
      <c r="O82" s="2"/>
      <c r="P82" s="2"/>
      <c r="Q82" s="2"/>
      <c r="R82" s="2"/>
      <c r="S82" s="2"/>
      <c r="T82" s="2"/>
      <c r="U82" s="2"/>
      <c r="V82" s="2"/>
      <c r="W82" s="2"/>
      <c r="X82" s="2"/>
      <c r="Y82" s="2"/>
      <c r="Z82" s="2"/>
    </row>
    <row r="83" customFormat="false" ht="15.75" hidden="false" customHeight="true" outlineLevel="0" collapsed="false">
      <c r="A83" s="2"/>
      <c r="B83" s="2"/>
      <c r="C83" s="2"/>
      <c r="D83" s="2"/>
      <c r="E83" s="2"/>
      <c r="F83" s="2"/>
      <c r="G83" s="2"/>
      <c r="H83" s="2"/>
      <c r="I83" s="2"/>
      <c r="J83" s="2"/>
      <c r="K83" s="2"/>
      <c r="L83" s="2"/>
      <c r="M83" s="2"/>
      <c r="N83" s="2"/>
      <c r="O83" s="2"/>
      <c r="P83" s="2"/>
      <c r="Q83" s="2"/>
      <c r="R83" s="2"/>
      <c r="S83" s="2"/>
      <c r="T83" s="2"/>
      <c r="U83" s="2"/>
      <c r="V83" s="2"/>
      <c r="W83" s="2"/>
      <c r="X83" s="2"/>
      <c r="Y83" s="2"/>
      <c r="Z83" s="2"/>
    </row>
    <row r="84" customFormat="false" ht="15.75" hidden="false" customHeight="true" outlineLevel="0" collapsed="false">
      <c r="A84" s="2"/>
      <c r="B84" s="2"/>
      <c r="C84" s="2"/>
      <c r="D84" s="2"/>
      <c r="E84" s="2"/>
      <c r="F84" s="2"/>
      <c r="G84" s="2"/>
      <c r="H84" s="2"/>
      <c r="I84" s="2"/>
      <c r="J84" s="2"/>
      <c r="K84" s="2"/>
      <c r="L84" s="2"/>
      <c r="M84" s="2"/>
      <c r="N84" s="2"/>
      <c r="O84" s="2"/>
      <c r="P84" s="2"/>
      <c r="Q84" s="2"/>
      <c r="R84" s="2"/>
      <c r="S84" s="2"/>
      <c r="T84" s="2"/>
      <c r="U84" s="2"/>
      <c r="V84" s="2"/>
      <c r="W84" s="2"/>
      <c r="X84" s="2"/>
      <c r="Y84" s="2"/>
      <c r="Z84" s="2"/>
    </row>
    <row r="85" customFormat="false" ht="15.75" hidden="false" customHeight="true" outlineLevel="0" collapsed="false">
      <c r="A85" s="2"/>
      <c r="B85" s="2"/>
      <c r="C85" s="2"/>
      <c r="D85" s="2"/>
      <c r="E85" s="2"/>
      <c r="F85" s="2"/>
      <c r="G85" s="2"/>
      <c r="H85" s="2"/>
      <c r="I85" s="2"/>
      <c r="J85" s="2"/>
      <c r="K85" s="2"/>
      <c r="L85" s="2"/>
      <c r="M85" s="2"/>
      <c r="N85" s="2"/>
      <c r="O85" s="2"/>
      <c r="P85" s="2"/>
      <c r="Q85" s="2"/>
      <c r="R85" s="2"/>
      <c r="S85" s="2"/>
      <c r="T85" s="2"/>
      <c r="U85" s="2"/>
      <c r="V85" s="2"/>
      <c r="W85" s="2"/>
      <c r="X85" s="2"/>
      <c r="Y85" s="2"/>
      <c r="Z85" s="2"/>
    </row>
    <row r="86" customFormat="false" ht="15.75" hidden="false" customHeight="true" outlineLevel="0" collapsed="false">
      <c r="A86" s="2"/>
      <c r="B86" s="2"/>
      <c r="C86" s="2"/>
      <c r="D86" s="2"/>
      <c r="E86" s="2"/>
      <c r="F86" s="2"/>
      <c r="G86" s="2"/>
      <c r="H86" s="2"/>
      <c r="I86" s="2"/>
      <c r="J86" s="2"/>
      <c r="K86" s="2"/>
      <c r="L86" s="2"/>
      <c r="M86" s="2"/>
      <c r="N86" s="2"/>
      <c r="O86" s="2"/>
      <c r="P86" s="2"/>
      <c r="Q86" s="2"/>
      <c r="R86" s="2"/>
      <c r="S86" s="2"/>
      <c r="T86" s="2"/>
      <c r="U86" s="2"/>
      <c r="V86" s="2"/>
      <c r="W86" s="2"/>
      <c r="X86" s="2"/>
      <c r="Y86" s="2"/>
      <c r="Z86" s="2"/>
    </row>
    <row r="87" customFormat="false" ht="15.75" hidden="false" customHeight="true" outlineLevel="0" collapsed="false">
      <c r="A87" s="2"/>
      <c r="B87" s="2"/>
      <c r="C87" s="2"/>
      <c r="D87" s="2"/>
      <c r="E87" s="2"/>
      <c r="F87" s="2"/>
      <c r="G87" s="2"/>
      <c r="H87" s="2"/>
      <c r="I87" s="2"/>
      <c r="J87" s="2"/>
      <c r="K87" s="2"/>
      <c r="L87" s="2"/>
      <c r="M87" s="2"/>
      <c r="N87" s="2"/>
      <c r="O87" s="2"/>
      <c r="P87" s="2"/>
      <c r="Q87" s="2"/>
      <c r="R87" s="2"/>
      <c r="S87" s="2"/>
      <c r="T87" s="2"/>
      <c r="U87" s="2"/>
      <c r="V87" s="2"/>
      <c r="W87" s="2"/>
      <c r="X87" s="2"/>
      <c r="Y87" s="2"/>
      <c r="Z87" s="2"/>
    </row>
    <row r="88" customFormat="false" ht="15.75" hidden="false" customHeight="true" outlineLevel="0" collapsed="false">
      <c r="A88" s="2"/>
      <c r="B88" s="2"/>
      <c r="C88" s="2"/>
      <c r="D88" s="2"/>
      <c r="E88" s="2"/>
      <c r="F88" s="2"/>
      <c r="G88" s="2"/>
      <c r="H88" s="2"/>
      <c r="I88" s="2"/>
      <c r="J88" s="2"/>
      <c r="K88" s="2"/>
      <c r="L88" s="2"/>
      <c r="M88" s="2"/>
      <c r="N88" s="2"/>
      <c r="O88" s="2"/>
      <c r="P88" s="2"/>
      <c r="Q88" s="2"/>
      <c r="R88" s="2"/>
      <c r="S88" s="2"/>
      <c r="T88" s="2"/>
      <c r="U88" s="2"/>
      <c r="V88" s="2"/>
      <c r="W88" s="2"/>
      <c r="X88" s="2"/>
      <c r="Y88" s="2"/>
      <c r="Z88" s="2"/>
    </row>
    <row r="89" customFormat="false" ht="15.75" hidden="false" customHeight="true" outlineLevel="0" collapsed="false">
      <c r="A89" s="2"/>
      <c r="B89" s="2"/>
      <c r="C89" s="2"/>
      <c r="D89" s="2"/>
      <c r="E89" s="2"/>
      <c r="F89" s="2"/>
      <c r="G89" s="2"/>
      <c r="H89" s="2"/>
      <c r="I89" s="2"/>
      <c r="J89" s="2"/>
      <c r="K89" s="2"/>
      <c r="L89" s="2"/>
      <c r="M89" s="2"/>
      <c r="N89" s="2"/>
      <c r="O89" s="2"/>
      <c r="P89" s="2"/>
      <c r="Q89" s="2"/>
      <c r="R89" s="2"/>
      <c r="S89" s="2"/>
      <c r="T89" s="2"/>
      <c r="U89" s="2"/>
      <c r="V89" s="2"/>
      <c r="W89" s="2"/>
      <c r="X89" s="2"/>
      <c r="Y89" s="2"/>
      <c r="Z89" s="2"/>
    </row>
    <row r="90" customFormat="false" ht="15.75" hidden="false" customHeight="true" outlineLevel="0" collapsed="false">
      <c r="A90" s="2"/>
      <c r="B90" s="2"/>
      <c r="C90" s="2"/>
      <c r="D90" s="2"/>
      <c r="E90" s="2"/>
      <c r="F90" s="2"/>
      <c r="G90" s="2"/>
      <c r="H90" s="2"/>
      <c r="I90" s="2"/>
      <c r="J90" s="2"/>
      <c r="K90" s="2"/>
      <c r="L90" s="2"/>
      <c r="M90" s="2"/>
      <c r="N90" s="2"/>
      <c r="O90" s="2"/>
      <c r="P90" s="2"/>
      <c r="Q90" s="2"/>
      <c r="R90" s="2"/>
      <c r="S90" s="2"/>
      <c r="T90" s="2"/>
      <c r="U90" s="2"/>
      <c r="V90" s="2"/>
      <c r="W90" s="2"/>
      <c r="X90" s="2"/>
      <c r="Y90" s="2"/>
      <c r="Z90" s="2"/>
    </row>
    <row r="91" customFormat="false" ht="15.75" hidden="false" customHeight="true" outlineLevel="0" collapsed="false">
      <c r="A91" s="2"/>
      <c r="B91" s="2"/>
      <c r="C91" s="2"/>
      <c r="D91" s="2"/>
      <c r="E91" s="2"/>
      <c r="F91" s="2"/>
      <c r="G91" s="2"/>
      <c r="H91" s="2"/>
      <c r="I91" s="2"/>
      <c r="J91" s="2"/>
      <c r="K91" s="2"/>
      <c r="L91" s="2"/>
      <c r="M91" s="2"/>
      <c r="N91" s="2"/>
      <c r="O91" s="2"/>
      <c r="P91" s="2"/>
      <c r="Q91" s="2"/>
      <c r="R91" s="2"/>
      <c r="S91" s="2"/>
      <c r="T91" s="2"/>
      <c r="U91" s="2"/>
      <c r="V91" s="2"/>
      <c r="W91" s="2"/>
      <c r="X91" s="2"/>
      <c r="Y91" s="2"/>
      <c r="Z91" s="2"/>
    </row>
    <row r="92" customFormat="false" ht="15.75" hidden="false" customHeight="true" outlineLevel="0" collapsed="false">
      <c r="A92" s="2"/>
      <c r="B92" s="2"/>
      <c r="C92" s="2"/>
      <c r="D92" s="2"/>
      <c r="E92" s="2"/>
      <c r="F92" s="2"/>
      <c r="G92" s="2"/>
      <c r="H92" s="2"/>
      <c r="I92" s="2"/>
      <c r="J92" s="2"/>
      <c r="K92" s="2"/>
      <c r="L92" s="2"/>
      <c r="M92" s="2"/>
      <c r="N92" s="2"/>
      <c r="O92" s="2"/>
      <c r="P92" s="2"/>
      <c r="Q92" s="2"/>
      <c r="R92" s="2"/>
      <c r="S92" s="2"/>
      <c r="T92" s="2"/>
      <c r="U92" s="2"/>
      <c r="V92" s="2"/>
      <c r="W92" s="2"/>
      <c r="X92" s="2"/>
      <c r="Y92" s="2"/>
      <c r="Z92" s="2"/>
    </row>
    <row r="93" customFormat="false" ht="15.75" hidden="false" customHeight="true" outlineLevel="0" collapsed="false">
      <c r="A93" s="2"/>
      <c r="B93" s="2"/>
      <c r="C93" s="2"/>
      <c r="D93" s="2"/>
      <c r="E93" s="2"/>
      <c r="F93" s="2"/>
      <c r="G93" s="2"/>
      <c r="H93" s="2"/>
      <c r="I93" s="2"/>
      <c r="J93" s="2"/>
      <c r="K93" s="2"/>
      <c r="L93" s="2"/>
      <c r="M93" s="2"/>
      <c r="N93" s="2"/>
      <c r="O93" s="2"/>
      <c r="P93" s="2"/>
      <c r="Q93" s="2"/>
      <c r="R93" s="2"/>
      <c r="S93" s="2"/>
      <c r="T93" s="2"/>
      <c r="U93" s="2"/>
      <c r="V93" s="2"/>
      <c r="W93" s="2"/>
      <c r="X93" s="2"/>
      <c r="Y93" s="2"/>
      <c r="Z93" s="2"/>
    </row>
    <row r="94" customFormat="false" ht="15.75" hidden="false" customHeight="true" outlineLevel="0" collapsed="false">
      <c r="A94" s="2"/>
      <c r="B94" s="2"/>
      <c r="C94" s="2"/>
      <c r="D94" s="2"/>
      <c r="E94" s="2"/>
      <c r="F94" s="2"/>
      <c r="G94" s="2"/>
      <c r="H94" s="2"/>
      <c r="I94" s="2"/>
      <c r="J94" s="2"/>
      <c r="K94" s="2"/>
      <c r="L94" s="2"/>
      <c r="M94" s="2"/>
      <c r="N94" s="2"/>
      <c r="O94" s="2"/>
      <c r="P94" s="2"/>
      <c r="Q94" s="2"/>
      <c r="R94" s="2"/>
      <c r="S94" s="2"/>
      <c r="T94" s="2"/>
      <c r="U94" s="2"/>
      <c r="V94" s="2"/>
      <c r="W94" s="2"/>
      <c r="X94" s="2"/>
      <c r="Y94" s="2"/>
      <c r="Z94" s="2"/>
    </row>
    <row r="95" customFormat="false" ht="15.75" hidden="false" customHeight="true" outlineLevel="0" collapsed="false">
      <c r="A95" s="2"/>
      <c r="B95" s="2"/>
      <c r="C95" s="2"/>
      <c r="D95" s="2"/>
      <c r="E95" s="2"/>
      <c r="F95" s="2"/>
      <c r="G95" s="2"/>
      <c r="H95" s="2"/>
      <c r="I95" s="2"/>
      <c r="J95" s="2"/>
      <c r="K95" s="2"/>
      <c r="L95" s="2"/>
      <c r="M95" s="2"/>
      <c r="N95" s="2"/>
      <c r="O95" s="2"/>
      <c r="P95" s="2"/>
      <c r="Q95" s="2"/>
      <c r="R95" s="2"/>
      <c r="S95" s="2"/>
      <c r="T95" s="2"/>
      <c r="U95" s="2"/>
      <c r="V95" s="2"/>
      <c r="W95" s="2"/>
      <c r="X95" s="2"/>
      <c r="Y95" s="2"/>
      <c r="Z95" s="2"/>
    </row>
    <row r="96" customFormat="false" ht="15.75" hidden="false" customHeight="true" outlineLevel="0" collapsed="false">
      <c r="A96" s="2"/>
      <c r="B96" s="2"/>
      <c r="C96" s="2"/>
      <c r="D96" s="2"/>
      <c r="E96" s="2"/>
      <c r="F96" s="2"/>
      <c r="G96" s="2"/>
      <c r="H96" s="2"/>
      <c r="I96" s="2"/>
      <c r="J96" s="2"/>
      <c r="K96" s="2"/>
      <c r="L96" s="2"/>
      <c r="M96" s="2"/>
      <c r="N96" s="2"/>
      <c r="O96" s="2"/>
      <c r="P96" s="2"/>
      <c r="Q96" s="2"/>
      <c r="R96" s="2"/>
      <c r="S96" s="2"/>
      <c r="T96" s="2"/>
      <c r="U96" s="2"/>
      <c r="V96" s="2"/>
      <c r="W96" s="2"/>
      <c r="X96" s="2"/>
      <c r="Y96" s="2"/>
      <c r="Z96" s="2"/>
    </row>
    <row r="97" customFormat="false" ht="15.75" hidden="false" customHeight="true" outlineLevel="0" collapsed="false">
      <c r="A97" s="2"/>
      <c r="B97" s="2"/>
      <c r="C97" s="2"/>
      <c r="D97" s="2"/>
      <c r="E97" s="2"/>
      <c r="F97" s="2"/>
      <c r="G97" s="2"/>
      <c r="H97" s="2"/>
      <c r="I97" s="2"/>
      <c r="J97" s="2"/>
      <c r="K97" s="2"/>
      <c r="L97" s="2"/>
      <c r="M97" s="2"/>
      <c r="N97" s="2"/>
      <c r="O97" s="2"/>
      <c r="P97" s="2"/>
      <c r="Q97" s="2"/>
      <c r="R97" s="2"/>
      <c r="S97" s="2"/>
      <c r="T97" s="2"/>
      <c r="U97" s="2"/>
      <c r="V97" s="2"/>
      <c r="W97" s="2"/>
      <c r="X97" s="2"/>
      <c r="Y97" s="2"/>
      <c r="Z97" s="2"/>
    </row>
    <row r="98" customFormat="false" ht="15.75" hidden="false" customHeight="true" outlineLevel="0" collapsed="false">
      <c r="A98" s="2"/>
      <c r="B98" s="2"/>
      <c r="C98" s="2"/>
      <c r="D98" s="2"/>
      <c r="E98" s="2"/>
      <c r="F98" s="2"/>
      <c r="G98" s="2"/>
      <c r="H98" s="2"/>
      <c r="I98" s="2"/>
      <c r="J98" s="2"/>
      <c r="K98" s="2"/>
      <c r="L98" s="2"/>
      <c r="M98" s="2"/>
      <c r="N98" s="2"/>
      <c r="O98" s="2"/>
      <c r="P98" s="2"/>
      <c r="Q98" s="2"/>
      <c r="R98" s="2"/>
      <c r="S98" s="2"/>
      <c r="T98" s="2"/>
      <c r="U98" s="2"/>
      <c r="V98" s="2"/>
      <c r="W98" s="2"/>
      <c r="X98" s="2"/>
      <c r="Y98" s="2"/>
      <c r="Z98" s="2"/>
    </row>
    <row r="99" customFormat="false" ht="15.75" hidden="false" customHeight="true" outlineLevel="0" collapsed="false">
      <c r="A99" s="2"/>
      <c r="B99" s="2"/>
      <c r="C99" s="2"/>
      <c r="D99" s="2"/>
      <c r="E99" s="2"/>
      <c r="F99" s="2"/>
      <c r="G99" s="2"/>
      <c r="H99" s="2"/>
      <c r="I99" s="2"/>
      <c r="J99" s="2"/>
      <c r="K99" s="2"/>
      <c r="L99" s="2"/>
      <c r="M99" s="2"/>
      <c r="N99" s="2"/>
      <c r="O99" s="2"/>
      <c r="P99" s="2"/>
      <c r="Q99" s="2"/>
      <c r="R99" s="2"/>
      <c r="S99" s="2"/>
      <c r="T99" s="2"/>
      <c r="U99" s="2"/>
      <c r="V99" s="2"/>
      <c r="W99" s="2"/>
      <c r="X99" s="2"/>
      <c r="Y99" s="2"/>
      <c r="Z99" s="2"/>
    </row>
    <row r="100" customFormat="false" ht="15.75" hidden="false" customHeight="true" outlineLevel="0" collapsed="false">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ustomFormat="false" ht="15.75" hidden="false" customHeight="true" outlineLevel="0" collapsed="false">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ustomFormat="false" ht="15.75" hidden="false" customHeight="true" outlineLevel="0" collapsed="false">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ustomFormat="false" ht="15.75" hidden="false" customHeight="true" outlineLevel="0" collapsed="false">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ustomFormat="false" ht="15.75" hidden="false" customHeight="true" outlineLevel="0" collapsed="false">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ustomFormat="false" ht="15.75" hidden="false" customHeight="true" outlineLevel="0" collapsed="false">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ustomFormat="false" ht="15.75" hidden="false" customHeight="true" outlineLevel="0" collapsed="false">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ustomFormat="false" ht="15.75" hidden="false" customHeight="true" outlineLevel="0" collapsed="false">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ustomFormat="false" ht="15.75" hidden="false" customHeight="true" outlineLevel="0" collapsed="false">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ustomFormat="false" ht="15.75" hidden="false" customHeight="true" outlineLevel="0" collapsed="false">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ustomFormat="false" ht="15.75" hidden="false" customHeight="true" outlineLevel="0" collapsed="false">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ustomFormat="false" ht="15.75" hidden="false" customHeight="true" outlineLevel="0" collapsed="false">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ustomFormat="false" ht="15.75" hidden="false" customHeight="true" outlineLevel="0" collapsed="false">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ustomFormat="false" ht="15.75" hidden="false" customHeight="true" outlineLevel="0" collapsed="false">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ustomFormat="false" ht="15.75" hidden="false" customHeight="true" outlineLevel="0" collapsed="false">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ustomFormat="false" ht="15.75" hidden="false" customHeight="true" outlineLevel="0" collapsed="false">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ustomFormat="false" ht="15.75" hidden="false" customHeight="true" outlineLevel="0" collapsed="false">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ustomFormat="false" ht="15.75" hidden="false" customHeight="true" outlineLevel="0" collapsed="false">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ustomFormat="false" ht="15.75" hidden="false" customHeight="true" outlineLevel="0" collapsed="false">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ustomFormat="false" ht="15.75" hidden="false" customHeight="true" outlineLevel="0" collapsed="false">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ustomFormat="false" ht="15.75" hidden="false" customHeight="true" outlineLevel="0" collapsed="false">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ustomFormat="false" ht="15.75" hidden="false" customHeight="true" outlineLevel="0" collapsed="false">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ustomFormat="false" ht="15.75" hidden="false" customHeight="true" outlineLevel="0" collapsed="false">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ustomFormat="false" ht="15.75" hidden="false" customHeight="true" outlineLevel="0" collapsed="false">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ustomFormat="false" ht="15.75" hidden="false" customHeight="true" outlineLevel="0" collapsed="false">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ustomFormat="false" ht="15.75" hidden="false" customHeight="true" outlineLevel="0" collapsed="false">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ustomFormat="false" ht="15.75" hidden="false" customHeight="true" outlineLevel="0" collapsed="false">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ustomFormat="false" ht="15.75" hidden="false" customHeight="true" outlineLevel="0" collapsed="false">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ustomFormat="false" ht="15.75" hidden="false" customHeight="true" outlineLevel="0" collapsed="false">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ustomFormat="false" ht="15.75" hidden="false" customHeight="true" outlineLevel="0" collapsed="false">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ustomFormat="false" ht="15.75" hidden="false" customHeight="true" outlineLevel="0" collapsed="false">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ustomFormat="false" ht="15.75" hidden="false" customHeight="true" outlineLevel="0" collapsed="false">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ustomFormat="false" ht="15.75" hidden="false" customHeight="true" outlineLevel="0" collapsed="false">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ustomFormat="false" ht="15.75" hidden="false" customHeight="true" outlineLevel="0" collapsed="false">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ustomFormat="false" ht="15.75" hidden="false" customHeight="true" outlineLevel="0" collapsed="false">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ustomFormat="false" ht="15.75" hidden="false" customHeight="true" outlineLevel="0" collapsed="false">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ustomFormat="false" ht="15.75" hidden="false" customHeight="true" outlineLevel="0" collapsed="false">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ustomFormat="false" ht="15.75" hidden="false" customHeight="true" outlineLevel="0" collapsed="false">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ustomFormat="false" ht="15.75" hidden="false" customHeight="true" outlineLevel="0" collapsed="false">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ustomFormat="false" ht="15.75" hidden="false" customHeight="true" outlineLevel="0" collapsed="false">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ustomFormat="false" ht="15.75" hidden="false" customHeight="true" outlineLevel="0" collapsed="false">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ustomFormat="false" ht="15.75" hidden="false" customHeight="true" outlineLevel="0" collapsed="false">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ustomFormat="false" ht="15.75" hidden="false" customHeight="true" outlineLevel="0" collapsed="false">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ustomFormat="false" ht="15.75" hidden="false" customHeight="true" outlineLevel="0" collapsed="false">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ustomFormat="false" ht="15.75" hidden="false" customHeight="true" outlineLevel="0" collapsed="false">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ustomFormat="false" ht="15.75" hidden="false" customHeight="true" outlineLevel="0" collapsed="false">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ustomFormat="false" ht="15.75" hidden="false" customHeight="true" outlineLevel="0" collapsed="false">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ustomFormat="false" ht="15.75" hidden="false" customHeight="true" outlineLevel="0" collapsed="false">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ustomFormat="false" ht="15.75" hidden="false" customHeight="true" outlineLevel="0" collapsed="false">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ustomFormat="false" ht="15.75" hidden="false" customHeight="true" outlineLevel="0" collapsed="false">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ustomFormat="false" ht="15.75" hidden="false" customHeight="true" outlineLevel="0" collapsed="false">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ustomFormat="false" ht="15.75" hidden="false" customHeight="true" outlineLevel="0" collapsed="false">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ustomFormat="false" ht="15.75" hidden="false" customHeight="true" outlineLevel="0" collapsed="false">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ustomFormat="false" ht="15.75" hidden="false" customHeight="true" outlineLevel="0" collapsed="false">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ustomFormat="false" ht="15.75" hidden="false" customHeight="true" outlineLevel="0" collapsed="false">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ustomFormat="false" ht="15.75" hidden="false" customHeight="true" outlineLevel="0" collapsed="false">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ustomFormat="false" ht="15.75" hidden="false" customHeight="true" outlineLevel="0" collapsed="false">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ustomFormat="false" ht="15.75" hidden="false" customHeight="true" outlineLevel="0" collapsed="false">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ustomFormat="false" ht="15.75" hidden="false" customHeight="true" outlineLevel="0" collapsed="false">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ustomFormat="false" ht="15.75" hidden="false" customHeight="true" outlineLevel="0" collapsed="false">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ustomFormat="false" ht="15.75" hidden="false" customHeight="true" outlineLevel="0" collapsed="false">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ustomFormat="false" ht="15.75" hidden="false" customHeight="true" outlineLevel="0" collapsed="false">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ustomFormat="false" ht="15.75" hidden="false" customHeight="true" outlineLevel="0" collapsed="false">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ustomFormat="false" ht="15.75" hidden="false" customHeight="true" outlineLevel="0" collapsed="false">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ustomFormat="false" ht="15.75" hidden="false" customHeight="true" outlineLevel="0" collapsed="false">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ustomFormat="false" ht="15.75" hidden="false" customHeight="true" outlineLevel="0" collapsed="false">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ustomFormat="false" ht="15.75" hidden="false" customHeight="true" outlineLevel="0" collapsed="false">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ustomFormat="false" ht="15.75" hidden="false" customHeight="true" outlineLevel="0" collapsed="false">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ustomFormat="false" ht="15.75" hidden="false" customHeight="true" outlineLevel="0" collapsed="false">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ustomFormat="false" ht="15.75" hidden="false" customHeight="true" outlineLevel="0" collapsed="false">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ustomFormat="false" ht="15.75" hidden="false" customHeight="true" outlineLevel="0" collapsed="false">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ustomFormat="false" ht="15.75" hidden="false" customHeight="true" outlineLevel="0" collapsed="false">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ustomFormat="false" ht="15.75" hidden="false" customHeight="true" outlineLevel="0" collapsed="false">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ustomFormat="false" ht="15.75" hidden="false" customHeight="true" outlineLevel="0" collapsed="false">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ustomFormat="false" ht="15.75" hidden="false" customHeight="true" outlineLevel="0" collapsed="false">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ustomFormat="false" ht="15.75" hidden="false" customHeight="true" outlineLevel="0" collapsed="false">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ustomFormat="false" ht="15.75" hidden="false" customHeight="true" outlineLevel="0" collapsed="false">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ustomFormat="false" ht="15.75" hidden="false" customHeight="true" outlineLevel="0" collapsed="false">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ustomFormat="false" ht="15.75" hidden="false" customHeight="true" outlineLevel="0" collapsed="false">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ustomFormat="false" ht="15.75" hidden="false" customHeight="true" outlineLevel="0" collapsed="false">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ustomFormat="false" ht="15.75" hidden="false" customHeight="true" outlineLevel="0" collapsed="false">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ustomFormat="false" ht="15.75" hidden="false" customHeight="true" outlineLevel="0" collapsed="false">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ustomFormat="false" ht="15.75" hidden="false" customHeight="true" outlineLevel="0" collapsed="false">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ustomFormat="false" ht="15.75" hidden="false" customHeight="true" outlineLevel="0" collapsed="false">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ustomFormat="false" ht="15.75" hidden="false" customHeight="true" outlineLevel="0" collapsed="false">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ustomFormat="false" ht="15.75" hidden="false" customHeight="true" outlineLevel="0" collapsed="false">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ustomFormat="false" ht="15.75" hidden="false" customHeight="true" outlineLevel="0" collapsed="false">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ustomFormat="false" ht="15.75" hidden="false" customHeight="true" outlineLevel="0" collapsed="false">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ustomFormat="false" ht="15.75" hidden="false" customHeight="true" outlineLevel="0" collapsed="false">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ustomFormat="false" ht="15.75" hidden="false" customHeight="true" outlineLevel="0" collapsed="false">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ustomFormat="false" ht="15.75" hidden="false" customHeight="true" outlineLevel="0" collapsed="false">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ustomFormat="false" ht="15.75" hidden="false" customHeight="true" outlineLevel="0" collapsed="false">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ustomFormat="false" ht="15.75" hidden="false" customHeight="true" outlineLevel="0" collapsed="false">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ustomFormat="false" ht="15.75" hidden="false" customHeight="true" outlineLevel="0" collapsed="false">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ustomFormat="false" ht="15.75" hidden="false" customHeight="true" outlineLevel="0" collapsed="false">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ustomFormat="false" ht="15.75" hidden="false" customHeight="true" outlineLevel="0" collapsed="false">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ustomFormat="false" ht="15.75" hidden="false" customHeight="true" outlineLevel="0" collapsed="false">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ustomFormat="false" ht="15.75" hidden="false" customHeight="true" outlineLevel="0" collapsed="false">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ustomFormat="false" ht="15.75" hidden="false" customHeight="true" outlineLevel="0" collapsed="false">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ustomFormat="false" ht="15.75" hidden="false" customHeight="true" outlineLevel="0" collapsed="false">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ustomFormat="false" ht="15.75" hidden="false" customHeight="true" outlineLevel="0" collapsed="false">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ustomFormat="false" ht="15.75" hidden="false" customHeight="true" outlineLevel="0" collapsed="false">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ustomFormat="false" ht="15.75" hidden="false" customHeight="true" outlineLevel="0" collapsed="false">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ustomFormat="false" ht="15.75" hidden="false" customHeight="true" outlineLevel="0" collapsed="false">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ustomFormat="false" ht="15.75" hidden="false" customHeight="true" outlineLevel="0" collapsed="false">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ustomFormat="false" ht="15.75" hidden="false" customHeight="true" outlineLevel="0" collapsed="false">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ustomFormat="false" ht="15.75" hidden="false" customHeight="true" outlineLevel="0" collapsed="false">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ustomFormat="false" ht="15.75" hidden="false" customHeight="true" outlineLevel="0" collapsed="false">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ustomFormat="false" ht="15.75" hidden="false" customHeight="true" outlineLevel="0" collapsed="false">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ustomFormat="false" ht="15.75" hidden="false" customHeight="true" outlineLevel="0" collapsed="false">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ustomFormat="false" ht="15.75" hidden="false" customHeight="true" outlineLevel="0" collapsed="false">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ustomFormat="false" ht="15.75" hidden="false" customHeight="true" outlineLevel="0" collapsed="false">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ustomFormat="false" ht="15.75" hidden="false" customHeight="true" outlineLevel="0" collapsed="false">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ustomFormat="false" ht="15.75" hidden="false" customHeight="true" outlineLevel="0" collapsed="false">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ustomFormat="false" ht="15.75" hidden="false" customHeight="true" outlineLevel="0" collapsed="false">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ustomFormat="false" ht="15.75" hidden="false" customHeight="true" outlineLevel="0" collapsed="false">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ustomFormat="false" ht="15.75" hidden="false" customHeight="true" outlineLevel="0" collapsed="false">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ustomFormat="false" ht="15.75" hidden="false" customHeight="true" outlineLevel="0" collapsed="false">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ustomFormat="false" ht="15.75" hidden="false" customHeight="true" outlineLevel="0" collapsed="false">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ustomFormat="false" ht="15.75" hidden="false" customHeight="true" outlineLevel="0" collapsed="false">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ustomFormat="false" ht="15.75" hidden="false" customHeight="true" outlineLevel="0" collapsed="false">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ustomFormat="false" ht="15.75" hidden="false" customHeight="true" outlineLevel="0" collapsed="false">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ustomFormat="false" ht="15.75" hidden="false" customHeight="true" outlineLevel="0" collapsed="false">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ustomFormat="false" ht="15.75" hidden="false" customHeight="true" outlineLevel="0" collapsed="false">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ustomFormat="false" ht="15.75" hidden="false" customHeight="true" outlineLevel="0" collapsed="false">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ustomFormat="false" ht="15.75" hidden="false" customHeight="true" outlineLevel="0" collapsed="false">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ustomFormat="false" ht="15.75" hidden="false" customHeight="true" outlineLevel="0" collapsed="false">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ustomFormat="false" ht="15.75" hidden="false" customHeight="true" outlineLevel="0" collapsed="false">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ustomFormat="false" ht="15.75" hidden="false" customHeight="true" outlineLevel="0" collapsed="false">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ustomFormat="false" ht="15.75" hidden="false" customHeight="true" outlineLevel="0" collapsed="false">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ustomFormat="false" ht="15.75" hidden="false" customHeight="true" outlineLevel="0" collapsed="false">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ustomFormat="false" ht="15.75" hidden="false" customHeight="true" outlineLevel="0" collapsed="false">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ustomFormat="false" ht="15.75" hidden="false" customHeight="true" outlineLevel="0" collapsed="false">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ustomFormat="false" ht="15.75" hidden="false" customHeight="true" outlineLevel="0" collapsed="false">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ustomFormat="false" ht="15.75" hidden="false" customHeight="true" outlineLevel="0" collapsed="false">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ustomFormat="false" ht="15.75" hidden="false" customHeight="true" outlineLevel="0" collapsed="false">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ustomFormat="false" ht="15.75" hidden="false" customHeight="true" outlineLevel="0" collapsed="false">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ustomFormat="false" ht="15.75" hidden="false" customHeight="true" outlineLevel="0" collapsed="false">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ustomFormat="false" ht="15.75" hidden="false" customHeight="true" outlineLevel="0" collapsed="false">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ustomFormat="false" ht="15.75" hidden="false" customHeight="true" outlineLevel="0" collapsed="false">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ustomFormat="false" ht="15.75" hidden="false" customHeight="true" outlineLevel="0" collapsed="false">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ustomFormat="false" ht="15.75" hidden="false" customHeight="true" outlineLevel="0" collapsed="false">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ustomFormat="false" ht="15.75" hidden="false" customHeight="true" outlineLevel="0" collapsed="false">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ustomFormat="false" ht="15.75" hidden="false" customHeight="true" outlineLevel="0" collapsed="false">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ustomFormat="false" ht="15.75" hidden="false" customHeight="true" outlineLevel="0" collapsed="false">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ustomFormat="false" ht="15.75" hidden="false" customHeight="true" outlineLevel="0" collapsed="false">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ustomFormat="false" ht="15.75" hidden="false" customHeight="true" outlineLevel="0" collapsed="false">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ustomFormat="false" ht="15.75" hidden="false" customHeight="true" outlineLevel="0" collapsed="false">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ustomFormat="false" ht="15.75" hidden="false" customHeight="true" outlineLevel="0" collapsed="false">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ustomFormat="false" ht="15.75" hidden="false" customHeight="true" outlineLevel="0" collapsed="false">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ustomFormat="false" ht="15.75" hidden="false" customHeight="true" outlineLevel="0" collapsed="false">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ustomFormat="false" ht="15.75" hidden="false" customHeight="true" outlineLevel="0" collapsed="false">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ustomFormat="false" ht="15.75" hidden="false" customHeight="true" outlineLevel="0" collapsed="false">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ustomFormat="false" ht="15.75" hidden="false" customHeight="true" outlineLevel="0" collapsed="false">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ustomFormat="false" ht="15.75" hidden="false" customHeight="true" outlineLevel="0" collapsed="false">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ustomFormat="false" ht="15.75" hidden="false" customHeight="true" outlineLevel="0" collapsed="false">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ustomFormat="false" ht="15.75" hidden="false" customHeight="true" outlineLevel="0" collapsed="false">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ustomFormat="false" ht="15.75" hidden="false" customHeight="true" outlineLevel="0" collapsed="false">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ustomFormat="false" ht="15.75" hidden="false" customHeight="true" outlineLevel="0" collapsed="false">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ustomFormat="false" ht="15.75" hidden="false" customHeight="true" outlineLevel="0" collapsed="false">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ustomFormat="false" ht="15.75" hidden="false" customHeight="true" outlineLevel="0" collapsed="false">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ustomFormat="false" ht="15.75" hidden="false" customHeight="true" outlineLevel="0" collapsed="false">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ustomFormat="false" ht="15.75" hidden="false" customHeight="true" outlineLevel="0" collapsed="false">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ustomFormat="false" ht="15.75" hidden="false" customHeight="true" outlineLevel="0" collapsed="false">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ustomFormat="false" ht="15.75" hidden="false" customHeight="true" outlineLevel="0" collapsed="false">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ustomFormat="false" ht="15.75" hidden="false" customHeight="true" outlineLevel="0" collapsed="false">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ustomFormat="false" ht="15.75" hidden="false" customHeight="true" outlineLevel="0" collapsed="false">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ustomFormat="false" ht="15.75" hidden="false" customHeight="true" outlineLevel="0" collapsed="false">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ustomFormat="false" ht="15.75" hidden="false" customHeight="true" outlineLevel="0" collapsed="false">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ustomFormat="false" ht="15.75" hidden="false" customHeight="true" outlineLevel="0" collapsed="false">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ustomFormat="false" ht="15.75" hidden="false" customHeight="true" outlineLevel="0" collapsed="false">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ustomFormat="false" ht="15.75" hidden="false" customHeight="true" outlineLevel="0" collapsed="false">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ustomFormat="false" ht="15.75" hidden="false" customHeight="true" outlineLevel="0" collapsed="false">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ustomFormat="false" ht="15.75" hidden="false" customHeight="true" outlineLevel="0" collapsed="false">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ustomFormat="false" ht="15.75" hidden="false" customHeight="true" outlineLevel="0" collapsed="false">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ustomFormat="false" ht="15.75" hidden="false" customHeight="true" outlineLevel="0" collapsed="false">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ustomFormat="false" ht="15.75" hidden="false" customHeight="true" outlineLevel="0" collapsed="false">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ustomFormat="false" ht="15.75" hidden="false" customHeight="true" outlineLevel="0" collapsed="false">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ustomFormat="false" ht="15.75" hidden="false" customHeight="true" outlineLevel="0" collapsed="false">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ustomFormat="false" ht="15.75" hidden="false" customHeight="true" outlineLevel="0" collapsed="false">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ustomFormat="false" ht="15.75" hidden="false" customHeight="true" outlineLevel="0" collapsed="false">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ustomFormat="false" ht="15.75" hidden="false" customHeight="true" outlineLevel="0" collapsed="false">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ustomFormat="false" ht="15.75" hidden="false" customHeight="true" outlineLevel="0" collapsed="false">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ustomFormat="false" ht="15.75" hidden="false" customHeight="true" outlineLevel="0" collapsed="false">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ustomFormat="false" ht="15.75" hidden="false" customHeight="true" outlineLevel="0" collapsed="false">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ustomFormat="false" ht="15.75" hidden="false" customHeight="true" outlineLevel="0" collapsed="false">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ustomFormat="false" ht="15.75" hidden="false" customHeight="true" outlineLevel="0" collapsed="false">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ustomFormat="false" ht="15.75" hidden="false" customHeight="true" outlineLevel="0" collapsed="false">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ustomFormat="false" ht="15.75" hidden="false" customHeight="true" outlineLevel="0" collapsed="false">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ustomFormat="false" ht="15.75" hidden="false" customHeight="true" outlineLevel="0" collapsed="false">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ustomFormat="false" ht="15.75" hidden="false" customHeight="true" outlineLevel="0" collapsed="false">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ustomFormat="false" ht="15.75" hidden="false" customHeight="true" outlineLevel="0" collapsed="false">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ustomFormat="false" ht="15.75" hidden="false" customHeight="true" outlineLevel="0" collapsed="false">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ustomFormat="false" ht="15.75" hidden="false" customHeight="true" outlineLevel="0" collapsed="false">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ustomFormat="false" ht="15.75" hidden="false" customHeight="true" outlineLevel="0" collapsed="false">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ustomFormat="false" ht="15.75" hidden="false" customHeight="true" outlineLevel="0" collapsed="false">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ustomFormat="false" ht="15.75" hidden="false" customHeight="true" outlineLevel="0" collapsed="false">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ustomFormat="false" ht="15.75" hidden="false" customHeight="true" outlineLevel="0" collapsed="false">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ustomFormat="false" ht="15.75" hidden="false" customHeight="true" outlineLevel="0" collapsed="false">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ustomFormat="false" ht="15.75" hidden="false" customHeight="true" outlineLevel="0" collapsed="false">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ustomFormat="false" ht="15.75" hidden="false" customHeight="true" outlineLevel="0" collapsed="false">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ustomFormat="false" ht="15.75" hidden="false" customHeight="true" outlineLevel="0" collapsed="false">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ustomFormat="false" ht="15.75" hidden="false" customHeight="true" outlineLevel="0" collapsed="false">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ustomFormat="false" ht="15.75" hidden="false" customHeight="true" outlineLevel="0" collapsed="false">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ustomFormat="false" ht="15.75" hidden="false" customHeight="true" outlineLevel="0" collapsed="false">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ustomFormat="false" ht="15.75" hidden="false" customHeight="true" outlineLevel="0" collapsed="false">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ustomFormat="false" ht="15.75" hidden="false" customHeight="true" outlineLevel="0" collapsed="false">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ustomFormat="false" ht="15.75" hidden="false" customHeight="true" outlineLevel="0" collapsed="false">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ustomFormat="false" ht="15.75" hidden="false" customHeight="true" outlineLevel="0" collapsed="false">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ustomFormat="false" ht="15.75" hidden="false" customHeight="true" outlineLevel="0" collapsed="false">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ustomFormat="false" ht="15.75" hidden="false" customHeight="true" outlineLevel="0" collapsed="false">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ustomFormat="false" ht="15.75" hidden="false" customHeight="true" outlineLevel="0" collapsed="false">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ustomFormat="false" ht="15.75" hidden="false" customHeight="true" outlineLevel="0" collapsed="false">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ustomFormat="false" ht="15.75" hidden="false" customHeight="true" outlineLevel="0" collapsed="false">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ustomFormat="false" ht="15.75" hidden="false" customHeight="true" outlineLevel="0" collapsed="false">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ustomFormat="false" ht="15.75" hidden="false" customHeight="true" outlineLevel="0" collapsed="false">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ustomFormat="false" ht="15.75" hidden="false" customHeight="true" outlineLevel="0" collapsed="false">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ustomFormat="false" ht="15.75" hidden="false" customHeight="true" outlineLevel="0" collapsed="false">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ustomFormat="false" ht="15.75" hidden="false" customHeight="true" outlineLevel="0" collapsed="false">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ustomFormat="false" ht="15.75" hidden="false" customHeight="true" outlineLevel="0" collapsed="false">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ustomFormat="false" ht="15.75" hidden="false" customHeight="true" outlineLevel="0" collapsed="false">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ustomFormat="false" ht="15.75" hidden="false" customHeight="true" outlineLevel="0" collapsed="false">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ustomFormat="false" ht="15.75" hidden="false" customHeight="true" outlineLevel="0" collapsed="false">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ustomFormat="false" ht="15.75" hidden="false" customHeight="true" outlineLevel="0" collapsed="false">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ustomFormat="false" ht="15.75" hidden="false" customHeight="true" outlineLevel="0" collapsed="false">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ustomFormat="false" ht="15.75" hidden="false" customHeight="true" outlineLevel="0" collapsed="false">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ustomFormat="false" ht="15.75" hidden="false" customHeight="true" outlineLevel="0" collapsed="false">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ustomFormat="false" ht="15.75" hidden="false" customHeight="true" outlineLevel="0" collapsed="false">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ustomFormat="false" ht="15.75" hidden="false" customHeight="true" outlineLevel="0" collapsed="false">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ustomFormat="false" ht="15.75" hidden="false" customHeight="true" outlineLevel="0" collapsed="false">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ustomFormat="false" ht="15.75" hidden="false" customHeight="true" outlineLevel="0" collapsed="false">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ustomFormat="false" ht="15.75" hidden="false" customHeight="true" outlineLevel="0" collapsed="false">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ustomFormat="false" ht="15.75" hidden="false" customHeight="true" outlineLevel="0" collapsed="false">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ustomFormat="false" ht="15.75" hidden="false" customHeight="true" outlineLevel="0" collapsed="false">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ustomFormat="false" ht="15.75" hidden="false" customHeight="true" outlineLevel="0" collapsed="false">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ustomFormat="false" ht="15.75" hidden="false" customHeight="true" outlineLevel="0" collapsed="false">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ustomFormat="false" ht="15.75" hidden="false" customHeight="true" outlineLevel="0" collapsed="false">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ustomFormat="false" ht="15.75" hidden="false" customHeight="true" outlineLevel="0" collapsed="false">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ustomFormat="false" ht="15.75" hidden="false" customHeight="true" outlineLevel="0" collapsed="false">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ustomFormat="false" ht="15.75" hidden="false" customHeight="true" outlineLevel="0" collapsed="false">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ustomFormat="false" ht="15.75" hidden="false" customHeight="true" outlineLevel="0" collapsed="false">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ustomFormat="false" ht="15.75" hidden="false" customHeight="true" outlineLevel="0" collapsed="false">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ustomFormat="false" ht="15.75" hidden="false" customHeight="true" outlineLevel="0" collapsed="false">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ustomFormat="false" ht="15.75" hidden="false" customHeight="true" outlineLevel="0" collapsed="false">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ustomFormat="false" ht="15.75" hidden="false" customHeight="true" outlineLevel="0" collapsed="false">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ustomFormat="false" ht="15.75" hidden="false" customHeight="true" outlineLevel="0" collapsed="false">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ustomFormat="false" ht="15.75" hidden="false" customHeight="true" outlineLevel="0" collapsed="false">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ustomFormat="false" ht="15.75" hidden="false" customHeight="true" outlineLevel="0" collapsed="false">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ustomFormat="false" ht="15.75" hidden="false" customHeight="true" outlineLevel="0" collapsed="false">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ustomFormat="false" ht="15.75" hidden="false" customHeight="true" outlineLevel="0" collapsed="false">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ustomFormat="false" ht="15.75" hidden="false" customHeight="true" outlineLevel="0" collapsed="false">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ustomFormat="false" ht="15.75" hidden="false" customHeight="true" outlineLevel="0" collapsed="false">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ustomFormat="false" ht="15.75" hidden="false" customHeight="true" outlineLevel="0" collapsed="false">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ustomFormat="false" ht="15.75" hidden="false" customHeight="true" outlineLevel="0" collapsed="false">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ustomFormat="false" ht="15.75" hidden="false" customHeight="true" outlineLevel="0" collapsed="false">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ustomFormat="false" ht="15.75" hidden="false" customHeight="true" outlineLevel="0" collapsed="false">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ustomFormat="false" ht="15.75" hidden="false" customHeight="true" outlineLevel="0" collapsed="false">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ustomFormat="false" ht="15.75" hidden="false" customHeight="true" outlineLevel="0" collapsed="false">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ustomFormat="false" ht="15.75" hidden="false" customHeight="true" outlineLevel="0" collapsed="false">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ustomFormat="false" ht="15.75" hidden="false" customHeight="true" outlineLevel="0" collapsed="false">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ustomFormat="false" ht="15.75" hidden="false" customHeight="true" outlineLevel="0" collapsed="false">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ustomFormat="false" ht="15.75" hidden="false" customHeight="true" outlineLevel="0" collapsed="false">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ustomFormat="false" ht="15.75" hidden="false" customHeight="true" outlineLevel="0" collapsed="false">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ustomFormat="false" ht="15.75" hidden="false" customHeight="true" outlineLevel="0" collapsed="false">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ustomFormat="false" ht="15.75" hidden="false" customHeight="true" outlineLevel="0" collapsed="false">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ustomFormat="false" ht="15.75" hidden="false" customHeight="true" outlineLevel="0" collapsed="false">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ustomFormat="false" ht="15.75" hidden="false" customHeight="true" outlineLevel="0" collapsed="false">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ustomFormat="false" ht="15.75" hidden="false" customHeight="true" outlineLevel="0" collapsed="false">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ustomFormat="false" ht="15.75" hidden="false" customHeight="true" outlineLevel="0" collapsed="false">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ustomFormat="false" ht="15.75" hidden="false" customHeight="true" outlineLevel="0" collapsed="false">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ustomFormat="false" ht="15.75" hidden="false" customHeight="true" outlineLevel="0" collapsed="false">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ustomFormat="false" ht="15.75" hidden="false" customHeight="true" outlineLevel="0" collapsed="false">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ustomFormat="false" ht="15.75" hidden="false" customHeight="true" outlineLevel="0" collapsed="false">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ustomFormat="false" ht="15.75" hidden="false" customHeight="true" outlineLevel="0" collapsed="false">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ustomFormat="false" ht="15.75" hidden="false" customHeight="true" outlineLevel="0" collapsed="false">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ustomFormat="false" ht="15.75" hidden="false" customHeight="true" outlineLevel="0" collapsed="false">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ustomFormat="false" ht="15.75" hidden="false" customHeight="true" outlineLevel="0" collapsed="false">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ustomFormat="false" ht="15.75" hidden="false" customHeight="true" outlineLevel="0" collapsed="false">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ustomFormat="false" ht="15.75" hidden="false" customHeight="true" outlineLevel="0" collapsed="false">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ustomFormat="false" ht="15.75" hidden="false" customHeight="true" outlineLevel="0" collapsed="false">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ustomFormat="false" ht="15.75" hidden="false" customHeight="true" outlineLevel="0" collapsed="false">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ustomFormat="false" ht="15.75" hidden="false" customHeight="true" outlineLevel="0" collapsed="false">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ustomFormat="false" ht="15.75" hidden="false" customHeight="true" outlineLevel="0" collapsed="false">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ustomFormat="false" ht="15.75" hidden="false" customHeight="true" outlineLevel="0" collapsed="false">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ustomFormat="false" ht="15.75" hidden="false" customHeight="true" outlineLevel="0" collapsed="false">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ustomFormat="false" ht="15.75" hidden="false" customHeight="true" outlineLevel="0" collapsed="false">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ustomFormat="false" ht="15.75" hidden="false" customHeight="true" outlineLevel="0" collapsed="false">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ustomFormat="false" ht="15.75" hidden="false" customHeight="true" outlineLevel="0" collapsed="false">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ustomFormat="false" ht="15.75" hidden="false" customHeight="true" outlineLevel="0" collapsed="false">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ustomFormat="false" ht="15.75" hidden="false" customHeight="true" outlineLevel="0" collapsed="false">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ustomFormat="false" ht="15.75" hidden="false" customHeight="true" outlineLevel="0" collapsed="false">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ustomFormat="false" ht="15.75" hidden="false" customHeight="true" outlineLevel="0" collapsed="false">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ustomFormat="false" ht="15.75" hidden="false" customHeight="true" outlineLevel="0" collapsed="false">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ustomFormat="false" ht="15.75" hidden="false" customHeight="true" outlineLevel="0" collapsed="false">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ustomFormat="false" ht="15.75" hidden="false" customHeight="true" outlineLevel="0" collapsed="false">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ustomFormat="false" ht="15.75" hidden="false" customHeight="true" outlineLevel="0" collapsed="false">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ustomFormat="false" ht="15.75" hidden="false" customHeight="true" outlineLevel="0" collapsed="false">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ustomFormat="false" ht="15.75" hidden="false" customHeight="true" outlineLevel="0" collapsed="false">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ustomFormat="false" ht="15.75" hidden="false" customHeight="true" outlineLevel="0" collapsed="false">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ustomFormat="false" ht="15.75" hidden="false" customHeight="true" outlineLevel="0" collapsed="false">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ustomFormat="false" ht="15.75" hidden="false" customHeight="true" outlineLevel="0" collapsed="false">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ustomFormat="false" ht="15.75" hidden="false" customHeight="true" outlineLevel="0" collapsed="false">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ustomFormat="false" ht="15.75" hidden="false" customHeight="true" outlineLevel="0" collapsed="false">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ustomFormat="false" ht="15.75" hidden="false" customHeight="true" outlineLevel="0" collapsed="false">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ustomFormat="false" ht="15.75" hidden="false" customHeight="true" outlineLevel="0" collapsed="false">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ustomFormat="false" ht="15.75" hidden="false" customHeight="true" outlineLevel="0" collapsed="false">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ustomFormat="false" ht="15.75" hidden="false" customHeight="true" outlineLevel="0" collapsed="false">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ustomFormat="false" ht="15.75" hidden="false" customHeight="true" outlineLevel="0" collapsed="false">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ustomFormat="false" ht="15.75" hidden="false" customHeight="true" outlineLevel="0" collapsed="false">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ustomFormat="false" ht="15.75" hidden="false" customHeight="true" outlineLevel="0" collapsed="false">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ustomFormat="false" ht="15.75" hidden="false" customHeight="true" outlineLevel="0" collapsed="false">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ustomFormat="false" ht="15.75" hidden="false" customHeight="true" outlineLevel="0" collapsed="false">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ustomFormat="false" ht="15.75" hidden="false" customHeight="true" outlineLevel="0" collapsed="false">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ustomFormat="false" ht="15.75" hidden="false" customHeight="true" outlineLevel="0" collapsed="false">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ustomFormat="false" ht="15.75" hidden="false" customHeight="true" outlineLevel="0" collapsed="false">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ustomFormat="false" ht="15.75" hidden="false" customHeight="true" outlineLevel="0" collapsed="false">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ustomFormat="false" ht="15.75" hidden="false" customHeight="true" outlineLevel="0" collapsed="false">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ustomFormat="false" ht="15.75" hidden="false" customHeight="true" outlineLevel="0" collapsed="false">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ustomFormat="false" ht="15.75" hidden="false" customHeight="true" outlineLevel="0" collapsed="false">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ustomFormat="false" ht="15.75" hidden="false" customHeight="true" outlineLevel="0" collapsed="false">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ustomFormat="false" ht="15.75" hidden="false" customHeight="true" outlineLevel="0" collapsed="false">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ustomFormat="false" ht="15.75" hidden="false" customHeight="true" outlineLevel="0" collapsed="false">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ustomFormat="false" ht="15.75" hidden="false" customHeight="true" outlineLevel="0" collapsed="false">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ustomFormat="false" ht="15.75" hidden="false" customHeight="true" outlineLevel="0" collapsed="false">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ustomFormat="false" ht="15.75" hidden="false" customHeight="true" outlineLevel="0" collapsed="false">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ustomFormat="false" ht="15.75" hidden="false" customHeight="true" outlineLevel="0" collapsed="false">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ustomFormat="false" ht="15.75" hidden="false" customHeight="true" outlineLevel="0" collapsed="false">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ustomFormat="false" ht="15.75" hidden="false" customHeight="true" outlineLevel="0" collapsed="false">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ustomFormat="false" ht="15.75" hidden="false" customHeight="true" outlineLevel="0" collapsed="false">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ustomFormat="false" ht="15.75" hidden="false" customHeight="true" outlineLevel="0" collapsed="false">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ustomFormat="false" ht="15.75" hidden="false" customHeight="true" outlineLevel="0" collapsed="false">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ustomFormat="false" ht="15.75" hidden="false" customHeight="true" outlineLevel="0" collapsed="false">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ustomFormat="false" ht="15.75" hidden="false" customHeight="true" outlineLevel="0" collapsed="false">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ustomFormat="false" ht="15.75" hidden="false" customHeight="true" outlineLevel="0" collapsed="false">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ustomFormat="false" ht="15.75" hidden="false" customHeight="true" outlineLevel="0" collapsed="false">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ustomFormat="false" ht="15.75" hidden="false" customHeight="true" outlineLevel="0" collapsed="false">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ustomFormat="false" ht="15.75" hidden="false" customHeight="true" outlineLevel="0" collapsed="false">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ustomFormat="false" ht="15.75" hidden="false" customHeight="true" outlineLevel="0" collapsed="false">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ustomFormat="false" ht="15.75" hidden="false" customHeight="true" outlineLevel="0" collapsed="false">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ustomFormat="false" ht="15.75" hidden="false" customHeight="true" outlineLevel="0" collapsed="false">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ustomFormat="false" ht="15.75" hidden="false" customHeight="true" outlineLevel="0" collapsed="false">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ustomFormat="false" ht="15.75" hidden="false" customHeight="true" outlineLevel="0" collapsed="false">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ustomFormat="false" ht="15.75" hidden="false" customHeight="true" outlineLevel="0" collapsed="false">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ustomFormat="false" ht="15.75" hidden="false" customHeight="true" outlineLevel="0" collapsed="false">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ustomFormat="false" ht="15.75" hidden="false" customHeight="true" outlineLevel="0" collapsed="false">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ustomFormat="false" ht="15.75" hidden="false" customHeight="true" outlineLevel="0" collapsed="false">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ustomFormat="false" ht="15.75" hidden="false" customHeight="true" outlineLevel="0" collapsed="false">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ustomFormat="false" ht="15.75" hidden="false" customHeight="true" outlineLevel="0" collapsed="false">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ustomFormat="false" ht="15.75" hidden="false" customHeight="true" outlineLevel="0" collapsed="false">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ustomFormat="false" ht="15.75" hidden="false" customHeight="true" outlineLevel="0" collapsed="false">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ustomFormat="false" ht="15.75" hidden="false" customHeight="true" outlineLevel="0" collapsed="false">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ustomFormat="false" ht="15.75" hidden="false" customHeight="true" outlineLevel="0" collapsed="false">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ustomFormat="false" ht="15.75" hidden="false" customHeight="true" outlineLevel="0" collapsed="false">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ustomFormat="false" ht="15.75" hidden="false" customHeight="true" outlineLevel="0" collapsed="false">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ustomFormat="false" ht="15.75" hidden="false" customHeight="true" outlineLevel="0" collapsed="false">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ustomFormat="false" ht="15.75" hidden="false" customHeight="true" outlineLevel="0" collapsed="false">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ustomFormat="false" ht="15.75" hidden="false" customHeight="true" outlineLevel="0" collapsed="false">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ustomFormat="false" ht="15.75" hidden="false" customHeight="true" outlineLevel="0" collapsed="false">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ustomFormat="false" ht="15.75" hidden="false" customHeight="true" outlineLevel="0" collapsed="false">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ustomFormat="false" ht="15.75" hidden="false" customHeight="true" outlineLevel="0" collapsed="false">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ustomFormat="false" ht="15.75" hidden="false" customHeight="true" outlineLevel="0" collapsed="false">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ustomFormat="false" ht="15.75" hidden="false" customHeight="true" outlineLevel="0" collapsed="false">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ustomFormat="false" ht="15.75" hidden="false" customHeight="true" outlineLevel="0" collapsed="false">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ustomFormat="false" ht="15.75" hidden="false" customHeight="true" outlineLevel="0" collapsed="false">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ustomFormat="false" ht="15.75" hidden="false" customHeight="true" outlineLevel="0" collapsed="false">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ustomFormat="false" ht="15.75" hidden="false" customHeight="true" outlineLevel="0" collapsed="false">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ustomFormat="false" ht="15.75" hidden="false" customHeight="true" outlineLevel="0" collapsed="false">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ustomFormat="false" ht="15.75" hidden="false" customHeight="true" outlineLevel="0" collapsed="false">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ustomFormat="false" ht="15.75" hidden="false" customHeight="true" outlineLevel="0" collapsed="false">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ustomFormat="false" ht="15.75" hidden="false" customHeight="true" outlineLevel="0" collapsed="false">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ustomFormat="false" ht="15.75" hidden="false" customHeight="true" outlineLevel="0" collapsed="false">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ustomFormat="false" ht="15.75" hidden="false" customHeight="true" outlineLevel="0" collapsed="false">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ustomFormat="false" ht="15.75" hidden="false" customHeight="true" outlineLevel="0" collapsed="false">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ustomFormat="false" ht="15.75" hidden="false" customHeight="true" outlineLevel="0" collapsed="false">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ustomFormat="false" ht="15.75" hidden="false" customHeight="true" outlineLevel="0" collapsed="false">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ustomFormat="false" ht="15.75" hidden="false" customHeight="true" outlineLevel="0" collapsed="false">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ustomFormat="false" ht="15.75" hidden="false" customHeight="true" outlineLevel="0" collapsed="false">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ustomFormat="false" ht="15.75" hidden="false" customHeight="true" outlineLevel="0" collapsed="false">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ustomFormat="false" ht="15.75" hidden="false" customHeight="true" outlineLevel="0" collapsed="false">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ustomFormat="false" ht="15.75" hidden="false" customHeight="true" outlineLevel="0" collapsed="false">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ustomFormat="false" ht="15.75" hidden="false" customHeight="true" outlineLevel="0" collapsed="false">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ustomFormat="false" ht="15.75" hidden="false" customHeight="true" outlineLevel="0" collapsed="false">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ustomFormat="false" ht="15.75" hidden="false" customHeight="true" outlineLevel="0" collapsed="false">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ustomFormat="false" ht="15.75" hidden="false" customHeight="true" outlineLevel="0" collapsed="false">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ustomFormat="false" ht="15.75" hidden="false" customHeight="true" outlineLevel="0" collapsed="false">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ustomFormat="false" ht="15.75" hidden="false" customHeight="true" outlineLevel="0" collapsed="false">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ustomFormat="false" ht="15.75" hidden="false" customHeight="true" outlineLevel="0" collapsed="false">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ustomFormat="false" ht="15.75" hidden="false" customHeight="true" outlineLevel="0" collapsed="false">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ustomFormat="false" ht="15.75" hidden="false" customHeight="true" outlineLevel="0" collapsed="false">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ustomFormat="false" ht="15.75" hidden="false" customHeight="true" outlineLevel="0" collapsed="false">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ustomFormat="false" ht="15.75" hidden="false" customHeight="true" outlineLevel="0" collapsed="false">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ustomFormat="false" ht="15.75" hidden="false" customHeight="true" outlineLevel="0" collapsed="false">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ustomFormat="false" ht="15.75" hidden="false" customHeight="true" outlineLevel="0" collapsed="false">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ustomFormat="false" ht="15.75" hidden="false" customHeight="true" outlineLevel="0" collapsed="false">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ustomFormat="false" ht="15.75" hidden="false" customHeight="true" outlineLevel="0" collapsed="false">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ustomFormat="false" ht="15.75" hidden="false" customHeight="true" outlineLevel="0" collapsed="false">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ustomFormat="false" ht="15.75" hidden="false" customHeight="true" outlineLevel="0" collapsed="false">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ustomFormat="false" ht="15.75" hidden="false" customHeight="true" outlineLevel="0" collapsed="false">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ustomFormat="false" ht="15.75" hidden="false" customHeight="true" outlineLevel="0" collapsed="false">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ustomFormat="false" ht="15.75" hidden="false" customHeight="true" outlineLevel="0" collapsed="false">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ustomFormat="false" ht="15.75" hidden="false" customHeight="true" outlineLevel="0" collapsed="false">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ustomFormat="false" ht="15.75" hidden="false" customHeight="true" outlineLevel="0" collapsed="false">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ustomFormat="false" ht="15.75" hidden="false" customHeight="true" outlineLevel="0" collapsed="false">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ustomFormat="false" ht="15.75" hidden="false" customHeight="true" outlineLevel="0" collapsed="false">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ustomFormat="false" ht="15.75" hidden="false" customHeight="true" outlineLevel="0" collapsed="false">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ustomFormat="false" ht="15.75" hidden="false" customHeight="true" outlineLevel="0" collapsed="false">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ustomFormat="false" ht="15.75" hidden="false" customHeight="true" outlineLevel="0" collapsed="false">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ustomFormat="false" ht="15.75" hidden="false" customHeight="true" outlineLevel="0" collapsed="false">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ustomFormat="false" ht="15.75" hidden="false" customHeight="true" outlineLevel="0" collapsed="false">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ustomFormat="false" ht="15.75" hidden="false" customHeight="true" outlineLevel="0" collapsed="false">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ustomFormat="false" ht="15.75" hidden="false" customHeight="true" outlineLevel="0" collapsed="false">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ustomFormat="false" ht="15.75" hidden="false" customHeight="true" outlineLevel="0" collapsed="false">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ustomFormat="false" ht="15.75" hidden="false" customHeight="true" outlineLevel="0" collapsed="false">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ustomFormat="false" ht="15.75" hidden="false" customHeight="true" outlineLevel="0" collapsed="false">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ustomFormat="false" ht="15.75" hidden="false" customHeight="true" outlineLevel="0" collapsed="false">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ustomFormat="false" ht="15.75" hidden="false" customHeight="true" outlineLevel="0" collapsed="false">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ustomFormat="false" ht="15.75" hidden="false" customHeight="true" outlineLevel="0" collapsed="false">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ustomFormat="false" ht="15.75" hidden="false" customHeight="true" outlineLevel="0" collapsed="false">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ustomFormat="false" ht="15.75" hidden="false" customHeight="true" outlineLevel="0" collapsed="false">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ustomFormat="false" ht="15.75" hidden="false" customHeight="true" outlineLevel="0" collapsed="false">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ustomFormat="false" ht="15.75" hidden="false" customHeight="true" outlineLevel="0" collapsed="false">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ustomFormat="false" ht="15.75" hidden="false" customHeight="true" outlineLevel="0" collapsed="false">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ustomFormat="false" ht="15.75" hidden="false" customHeight="true" outlineLevel="0" collapsed="false">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ustomFormat="false" ht="15.75" hidden="false" customHeight="true" outlineLevel="0" collapsed="false">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ustomFormat="false" ht="15.75" hidden="false" customHeight="true" outlineLevel="0" collapsed="false">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ustomFormat="false" ht="15.75" hidden="false" customHeight="true" outlineLevel="0" collapsed="false">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ustomFormat="false" ht="15.75" hidden="false" customHeight="true" outlineLevel="0" collapsed="false">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ustomFormat="false" ht="15.75" hidden="false" customHeight="true" outlineLevel="0" collapsed="false">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ustomFormat="false" ht="15.75" hidden="false" customHeight="true" outlineLevel="0" collapsed="false">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ustomFormat="false" ht="15.75" hidden="false" customHeight="true" outlineLevel="0" collapsed="false">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ustomFormat="false" ht="15.75" hidden="false" customHeight="true" outlineLevel="0" collapsed="false">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ustomFormat="false" ht="15.75" hidden="false" customHeight="true" outlineLevel="0" collapsed="false">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ustomFormat="false" ht="15.75" hidden="false" customHeight="true" outlineLevel="0" collapsed="false">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ustomFormat="false" ht="15.75" hidden="false" customHeight="true" outlineLevel="0" collapsed="false">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ustomFormat="false" ht="15.75" hidden="false" customHeight="true" outlineLevel="0" collapsed="false">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ustomFormat="false" ht="15.75" hidden="false" customHeight="true" outlineLevel="0" collapsed="false">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ustomFormat="false" ht="15.75" hidden="false" customHeight="true" outlineLevel="0" collapsed="false">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ustomFormat="false" ht="15.75" hidden="false" customHeight="true" outlineLevel="0" collapsed="false">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ustomFormat="false" ht="15.75" hidden="false" customHeight="true" outlineLevel="0" collapsed="false">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ustomFormat="false" ht="15.75" hidden="false" customHeight="true" outlineLevel="0" collapsed="false">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ustomFormat="false" ht="15.75" hidden="false" customHeight="true" outlineLevel="0" collapsed="false">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ustomFormat="false" ht="15.75" hidden="false" customHeight="true" outlineLevel="0" collapsed="false">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ustomFormat="false" ht="15.75" hidden="false" customHeight="true" outlineLevel="0" collapsed="false">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ustomFormat="false" ht="15.75" hidden="false" customHeight="true" outlineLevel="0" collapsed="false">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ustomFormat="false" ht="15.75" hidden="false" customHeight="true" outlineLevel="0" collapsed="false">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ustomFormat="false" ht="15.75" hidden="false" customHeight="true" outlineLevel="0" collapsed="false">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ustomFormat="false" ht="15.75" hidden="false" customHeight="true" outlineLevel="0" collapsed="false">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ustomFormat="false" ht="15.75" hidden="false" customHeight="true" outlineLevel="0" collapsed="false">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ustomFormat="false" ht="15.75" hidden="false" customHeight="true" outlineLevel="0" collapsed="false">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ustomFormat="false" ht="15.75" hidden="false" customHeight="true" outlineLevel="0" collapsed="false">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ustomFormat="false" ht="15.75" hidden="false" customHeight="true" outlineLevel="0" collapsed="false">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ustomFormat="false" ht="15.75" hidden="false" customHeight="true" outlineLevel="0" collapsed="false">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ustomFormat="false" ht="15.75" hidden="false" customHeight="true" outlineLevel="0" collapsed="false">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ustomFormat="false" ht="15.75" hidden="false" customHeight="true" outlineLevel="0" collapsed="false">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ustomFormat="false" ht="15.75" hidden="false" customHeight="true" outlineLevel="0" collapsed="false">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ustomFormat="false" ht="15.75" hidden="false" customHeight="true" outlineLevel="0" collapsed="false">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ustomFormat="false" ht="15.75" hidden="false" customHeight="true" outlineLevel="0" collapsed="false">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ustomFormat="false" ht="15.75" hidden="false" customHeight="true" outlineLevel="0" collapsed="false">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ustomFormat="false" ht="15.75" hidden="false" customHeight="true" outlineLevel="0" collapsed="false">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ustomFormat="false" ht="15.75" hidden="false" customHeight="true" outlineLevel="0" collapsed="false">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ustomFormat="false" ht="15.75" hidden="false" customHeight="true" outlineLevel="0" collapsed="false">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ustomFormat="false" ht="15.75" hidden="false" customHeight="true" outlineLevel="0" collapsed="false">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ustomFormat="false" ht="15.75" hidden="false" customHeight="true" outlineLevel="0" collapsed="false">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ustomFormat="false" ht="15.75" hidden="false" customHeight="true" outlineLevel="0" collapsed="false">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ustomFormat="false" ht="15.75" hidden="false" customHeight="true" outlineLevel="0" collapsed="false">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ustomFormat="false" ht="15.75" hidden="false" customHeight="true" outlineLevel="0" collapsed="false">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ustomFormat="false" ht="15.75" hidden="false" customHeight="true" outlineLevel="0" collapsed="false">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ustomFormat="false" ht="15.75" hidden="false" customHeight="true" outlineLevel="0" collapsed="false">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ustomFormat="false" ht="15.75" hidden="false" customHeight="true" outlineLevel="0" collapsed="false">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ustomFormat="false" ht="15.75" hidden="false" customHeight="true" outlineLevel="0" collapsed="false">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ustomFormat="false" ht="15.75" hidden="false" customHeight="true" outlineLevel="0" collapsed="false">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ustomFormat="false" ht="15.75" hidden="false" customHeight="true" outlineLevel="0" collapsed="false">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ustomFormat="false" ht="15.75" hidden="false" customHeight="true" outlineLevel="0" collapsed="false">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ustomFormat="false" ht="15.75" hidden="false" customHeight="true" outlineLevel="0" collapsed="false">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ustomFormat="false" ht="15.75" hidden="false" customHeight="true" outlineLevel="0" collapsed="false">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ustomFormat="false" ht="15.75" hidden="false" customHeight="true" outlineLevel="0" collapsed="false">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ustomFormat="false" ht="15.75" hidden="false" customHeight="true" outlineLevel="0" collapsed="false">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ustomFormat="false" ht="15.75" hidden="false" customHeight="true" outlineLevel="0" collapsed="false">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ustomFormat="false" ht="15.75" hidden="false" customHeight="true" outlineLevel="0" collapsed="false">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ustomFormat="false" ht="15.75" hidden="false" customHeight="true" outlineLevel="0" collapsed="false">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ustomFormat="false" ht="15.75" hidden="false" customHeight="true" outlineLevel="0" collapsed="false">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ustomFormat="false" ht="15.75" hidden="false" customHeight="true" outlineLevel="0" collapsed="false">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ustomFormat="false" ht="15.75" hidden="false" customHeight="true" outlineLevel="0" collapsed="false">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ustomFormat="false" ht="15.75" hidden="false" customHeight="true" outlineLevel="0" collapsed="false">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ustomFormat="false" ht="15.75" hidden="false" customHeight="true" outlineLevel="0" collapsed="false">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ustomFormat="false" ht="15.75" hidden="false" customHeight="true" outlineLevel="0" collapsed="false">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ustomFormat="false" ht="15.75" hidden="false" customHeight="true" outlineLevel="0" collapsed="false">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ustomFormat="false" ht="15.75" hidden="false" customHeight="true" outlineLevel="0" collapsed="false">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ustomFormat="false" ht="15.75" hidden="false" customHeight="true" outlineLevel="0" collapsed="false">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ustomFormat="false" ht="15.75" hidden="false" customHeight="true" outlineLevel="0" collapsed="false">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ustomFormat="false" ht="15.75" hidden="false" customHeight="true" outlineLevel="0" collapsed="false">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ustomFormat="false" ht="15.75" hidden="false" customHeight="true" outlineLevel="0" collapsed="false">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ustomFormat="false" ht="15.75" hidden="false" customHeight="true" outlineLevel="0" collapsed="false">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ustomFormat="false" ht="15.75" hidden="false" customHeight="true" outlineLevel="0" collapsed="false">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ustomFormat="false" ht="15.75" hidden="false" customHeight="true" outlineLevel="0" collapsed="false">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ustomFormat="false" ht="15.75" hidden="false" customHeight="true" outlineLevel="0" collapsed="false">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ustomFormat="false" ht="15.75" hidden="false" customHeight="true" outlineLevel="0" collapsed="false">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ustomFormat="false" ht="15.75" hidden="false" customHeight="true" outlineLevel="0" collapsed="false">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ustomFormat="false" ht="15.75" hidden="false" customHeight="true" outlineLevel="0" collapsed="false">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ustomFormat="false" ht="15.75" hidden="false" customHeight="true" outlineLevel="0" collapsed="false">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ustomFormat="false" ht="15.75" hidden="false" customHeight="true" outlineLevel="0" collapsed="false">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ustomFormat="false" ht="15.75" hidden="false" customHeight="true" outlineLevel="0" collapsed="false">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ustomFormat="false" ht="15.75" hidden="false" customHeight="true" outlineLevel="0" collapsed="false">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ustomFormat="false" ht="15.75" hidden="false" customHeight="true" outlineLevel="0" collapsed="false">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ustomFormat="false" ht="15.75" hidden="false" customHeight="true" outlineLevel="0" collapsed="false">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ustomFormat="false" ht="15.75" hidden="false" customHeight="true" outlineLevel="0" collapsed="false">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ustomFormat="false" ht="15.75" hidden="false" customHeight="true" outlineLevel="0" collapsed="false">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ustomFormat="false" ht="15.75" hidden="false" customHeight="true" outlineLevel="0" collapsed="false">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ustomFormat="false" ht="15.75" hidden="false" customHeight="true" outlineLevel="0" collapsed="false">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ustomFormat="false" ht="15.75" hidden="false" customHeight="true" outlineLevel="0" collapsed="false">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ustomFormat="false" ht="15.75" hidden="false" customHeight="true" outlineLevel="0" collapsed="false">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ustomFormat="false" ht="15.75" hidden="false" customHeight="true" outlineLevel="0" collapsed="false">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ustomFormat="false" ht="15.75" hidden="false" customHeight="true" outlineLevel="0" collapsed="false">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ustomFormat="false" ht="15.75" hidden="false" customHeight="true" outlineLevel="0" collapsed="false">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ustomFormat="false" ht="15.75" hidden="false" customHeight="true" outlineLevel="0" collapsed="false">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ustomFormat="false" ht="15.75" hidden="false" customHeight="true" outlineLevel="0" collapsed="false">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ustomFormat="false" ht="15.75" hidden="false" customHeight="true" outlineLevel="0" collapsed="false">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ustomFormat="false" ht="15.75" hidden="false" customHeight="true" outlineLevel="0" collapsed="false">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ustomFormat="false" ht="15.75" hidden="false" customHeight="true" outlineLevel="0" collapsed="false">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ustomFormat="false" ht="15.75" hidden="false" customHeight="true" outlineLevel="0" collapsed="false">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ustomFormat="false" ht="15.75" hidden="false" customHeight="true" outlineLevel="0" collapsed="false">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ustomFormat="false" ht="15.75" hidden="false" customHeight="true" outlineLevel="0" collapsed="false">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ustomFormat="false" ht="15.75" hidden="false" customHeight="true" outlineLevel="0" collapsed="false">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ustomFormat="false" ht="15.75" hidden="false" customHeight="true" outlineLevel="0" collapsed="false">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ustomFormat="false" ht="15.75" hidden="false" customHeight="true" outlineLevel="0" collapsed="false">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ustomFormat="false" ht="15.75" hidden="false" customHeight="true" outlineLevel="0" collapsed="false">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ustomFormat="false" ht="15.75" hidden="false" customHeight="true" outlineLevel="0" collapsed="false">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ustomFormat="false" ht="15.75" hidden="false" customHeight="true" outlineLevel="0" collapsed="false">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ustomFormat="false" ht="15.75" hidden="false" customHeight="true" outlineLevel="0" collapsed="false">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ustomFormat="false" ht="15.75" hidden="false" customHeight="true" outlineLevel="0" collapsed="false">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ustomFormat="false" ht="15.75" hidden="false" customHeight="true" outlineLevel="0" collapsed="false">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ustomFormat="false" ht="15.75" hidden="false" customHeight="true" outlineLevel="0" collapsed="false">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ustomFormat="false" ht="15.75" hidden="false" customHeight="true" outlineLevel="0" collapsed="false">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ustomFormat="false" ht="15.75" hidden="false" customHeight="true" outlineLevel="0" collapsed="false">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ustomFormat="false" ht="15.75" hidden="false" customHeight="true" outlineLevel="0" collapsed="false">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ustomFormat="false" ht="15.75" hidden="false" customHeight="true" outlineLevel="0" collapsed="false">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ustomFormat="false" ht="15.75" hidden="false" customHeight="true" outlineLevel="0" collapsed="false">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ustomFormat="false" ht="15.75" hidden="false" customHeight="true" outlineLevel="0" collapsed="false">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ustomFormat="false" ht="15.75" hidden="false" customHeight="true" outlineLevel="0" collapsed="false">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ustomFormat="false" ht="15.75" hidden="false" customHeight="true" outlineLevel="0" collapsed="false">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ustomFormat="false" ht="15.75" hidden="false" customHeight="true" outlineLevel="0" collapsed="false">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ustomFormat="false" ht="15.75" hidden="false" customHeight="true" outlineLevel="0" collapsed="false">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ustomFormat="false" ht="15.75" hidden="false" customHeight="true" outlineLevel="0" collapsed="false">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ustomFormat="false" ht="15.75" hidden="false" customHeight="true" outlineLevel="0" collapsed="false">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ustomFormat="false" ht="15.75" hidden="false" customHeight="true" outlineLevel="0" collapsed="false">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ustomFormat="false" ht="15.75" hidden="false" customHeight="true" outlineLevel="0" collapsed="false">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ustomFormat="false" ht="15.75" hidden="false" customHeight="true" outlineLevel="0" collapsed="false">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ustomFormat="false" ht="15.75" hidden="false" customHeight="true" outlineLevel="0" collapsed="false">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ustomFormat="false" ht="15.75" hidden="false" customHeight="true" outlineLevel="0" collapsed="false">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ustomFormat="false" ht="15.75" hidden="false" customHeight="true" outlineLevel="0" collapsed="false">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ustomFormat="false" ht="15.75" hidden="false" customHeight="true" outlineLevel="0" collapsed="false">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ustomFormat="false" ht="15.75" hidden="false" customHeight="true" outlineLevel="0" collapsed="false">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ustomFormat="false" ht="15.75" hidden="false" customHeight="true" outlineLevel="0" collapsed="false">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ustomFormat="false" ht="15.75" hidden="false" customHeight="true" outlineLevel="0" collapsed="false">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ustomFormat="false" ht="15.75" hidden="false" customHeight="true" outlineLevel="0" collapsed="false">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ustomFormat="false" ht="15.75" hidden="false" customHeight="true" outlineLevel="0" collapsed="false">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ustomFormat="false" ht="15.75" hidden="false" customHeight="true" outlineLevel="0" collapsed="false">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ustomFormat="false" ht="15.75" hidden="false" customHeight="true" outlineLevel="0" collapsed="false">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ustomFormat="false" ht="15.75" hidden="false" customHeight="true" outlineLevel="0" collapsed="false">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ustomFormat="false" ht="15.75" hidden="false" customHeight="true" outlineLevel="0" collapsed="false">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ustomFormat="false" ht="15.75" hidden="false" customHeight="true" outlineLevel="0" collapsed="false">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ustomFormat="false" ht="15.75" hidden="false" customHeight="true" outlineLevel="0" collapsed="false">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ustomFormat="false" ht="15.75" hidden="false" customHeight="true" outlineLevel="0" collapsed="false">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ustomFormat="false" ht="15.75" hidden="false" customHeight="true" outlineLevel="0" collapsed="false">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ustomFormat="false" ht="15.75" hidden="false" customHeight="true" outlineLevel="0" collapsed="false">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ustomFormat="false" ht="15.75" hidden="false" customHeight="true" outlineLevel="0" collapsed="false">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ustomFormat="false" ht="15.75" hidden="false" customHeight="true" outlineLevel="0" collapsed="false">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ustomFormat="false" ht="15.75" hidden="false" customHeight="true" outlineLevel="0" collapsed="false">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ustomFormat="false" ht="15.75" hidden="false" customHeight="true" outlineLevel="0" collapsed="false">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ustomFormat="false" ht="15.75" hidden="false" customHeight="true" outlineLevel="0" collapsed="false">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ustomFormat="false" ht="15.75" hidden="false" customHeight="true" outlineLevel="0" collapsed="false">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ustomFormat="false" ht="15.75" hidden="false" customHeight="true" outlineLevel="0" collapsed="false">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ustomFormat="false" ht="15.75" hidden="false" customHeight="true" outlineLevel="0" collapsed="false">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ustomFormat="false" ht="15.75" hidden="false" customHeight="true" outlineLevel="0" collapsed="false">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ustomFormat="false" ht="15.75" hidden="false" customHeight="true" outlineLevel="0" collapsed="false">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ustomFormat="false" ht="15.75" hidden="false" customHeight="true" outlineLevel="0" collapsed="false">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ustomFormat="false" ht="15.75" hidden="false" customHeight="true" outlineLevel="0" collapsed="false">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ustomFormat="false" ht="15.75" hidden="false" customHeight="true" outlineLevel="0" collapsed="false">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ustomFormat="false" ht="15.75" hidden="false" customHeight="true" outlineLevel="0" collapsed="false">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ustomFormat="false" ht="15.75" hidden="false" customHeight="true" outlineLevel="0" collapsed="false">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ustomFormat="false" ht="15.75" hidden="false" customHeight="true" outlineLevel="0" collapsed="false">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ustomFormat="false" ht="15.75" hidden="false" customHeight="true" outlineLevel="0" collapsed="false">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ustomFormat="false" ht="15.75" hidden="false" customHeight="true" outlineLevel="0" collapsed="false">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ustomFormat="false" ht="15.75" hidden="false" customHeight="true" outlineLevel="0" collapsed="false">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ustomFormat="false" ht="15.75" hidden="false" customHeight="true" outlineLevel="0" collapsed="false">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ustomFormat="false" ht="15.75" hidden="false" customHeight="true" outlineLevel="0" collapsed="false">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ustomFormat="false" ht="15.75" hidden="false" customHeight="true" outlineLevel="0" collapsed="false">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ustomFormat="false" ht="15.75" hidden="false" customHeight="true" outlineLevel="0" collapsed="false">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ustomFormat="false" ht="15.75" hidden="false" customHeight="true" outlineLevel="0" collapsed="false">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ustomFormat="false" ht="15.75" hidden="false" customHeight="true" outlineLevel="0" collapsed="false">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ustomFormat="false" ht="15.75" hidden="false" customHeight="true" outlineLevel="0" collapsed="false">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ustomFormat="false" ht="15.75" hidden="false" customHeight="true" outlineLevel="0" collapsed="false">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ustomFormat="false" ht="15.75" hidden="false" customHeight="true" outlineLevel="0" collapsed="false">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ustomFormat="false" ht="15.75" hidden="false" customHeight="true" outlineLevel="0" collapsed="false">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ustomFormat="false" ht="15.75" hidden="false" customHeight="true" outlineLevel="0" collapsed="false">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ustomFormat="false" ht="15.75" hidden="false" customHeight="true" outlineLevel="0" collapsed="false">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ustomFormat="false" ht="15.75" hidden="false" customHeight="true" outlineLevel="0" collapsed="false">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ustomFormat="false" ht="15.75" hidden="false" customHeight="true" outlineLevel="0" collapsed="false">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ustomFormat="false" ht="15.75" hidden="false" customHeight="true" outlineLevel="0" collapsed="false">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ustomFormat="false" ht="15.75" hidden="false" customHeight="true" outlineLevel="0" collapsed="false">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ustomFormat="false" ht="15.75" hidden="false" customHeight="true" outlineLevel="0" collapsed="false">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ustomFormat="false" ht="15.75" hidden="false" customHeight="true" outlineLevel="0" collapsed="false">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ustomFormat="false" ht="15.75" hidden="false" customHeight="true" outlineLevel="0" collapsed="false">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ustomFormat="false" ht="15.75" hidden="false" customHeight="true" outlineLevel="0" collapsed="false">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ustomFormat="false" ht="15.75" hidden="false" customHeight="true" outlineLevel="0" collapsed="false">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ustomFormat="false" ht="15.75" hidden="false" customHeight="true" outlineLevel="0" collapsed="false">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ustomFormat="false" ht="15.75" hidden="false" customHeight="true" outlineLevel="0" collapsed="false">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ustomFormat="false" ht="15.75" hidden="false" customHeight="true" outlineLevel="0" collapsed="false">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ustomFormat="false" ht="15.75" hidden="false" customHeight="true" outlineLevel="0" collapsed="false">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ustomFormat="false" ht="15.75" hidden="false" customHeight="true" outlineLevel="0" collapsed="false">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ustomFormat="false" ht="15.75" hidden="false" customHeight="true" outlineLevel="0" collapsed="false">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ustomFormat="false" ht="15.75" hidden="false" customHeight="true" outlineLevel="0" collapsed="false">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ustomFormat="false" ht="15.75" hidden="false" customHeight="true" outlineLevel="0" collapsed="false">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ustomFormat="false" ht="15.75" hidden="false" customHeight="true" outlineLevel="0" collapsed="false">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ustomFormat="false" ht="15.75" hidden="false" customHeight="true" outlineLevel="0" collapsed="false">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ustomFormat="false" ht="15.75" hidden="false" customHeight="true" outlineLevel="0" collapsed="false">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ustomFormat="false" ht="15.75" hidden="false" customHeight="true" outlineLevel="0" collapsed="false">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ustomFormat="false" ht="15.75" hidden="false" customHeight="true" outlineLevel="0" collapsed="false">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ustomFormat="false" ht="15.75" hidden="false" customHeight="true" outlineLevel="0" collapsed="false">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ustomFormat="false" ht="15.75" hidden="false" customHeight="true" outlineLevel="0" collapsed="false">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ustomFormat="false" ht="15.75" hidden="false" customHeight="true" outlineLevel="0" collapsed="false">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ustomFormat="false" ht="15.75" hidden="false" customHeight="true" outlineLevel="0" collapsed="false">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ustomFormat="false" ht="15.75" hidden="false" customHeight="true" outlineLevel="0" collapsed="false">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ustomFormat="false" ht="15.75" hidden="false" customHeight="true" outlineLevel="0" collapsed="false">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ustomFormat="false" ht="15.75" hidden="false" customHeight="true" outlineLevel="0" collapsed="false">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ustomFormat="false" ht="15.75" hidden="false" customHeight="true" outlineLevel="0" collapsed="false">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ustomFormat="false" ht="15.75" hidden="false" customHeight="true" outlineLevel="0" collapsed="false">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ustomFormat="false" ht="15.75" hidden="false" customHeight="true" outlineLevel="0" collapsed="false">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ustomFormat="false" ht="15.75" hidden="false" customHeight="true" outlineLevel="0" collapsed="false">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ustomFormat="false" ht="15.75" hidden="false" customHeight="true" outlineLevel="0" collapsed="false">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ustomFormat="false" ht="15.75" hidden="false" customHeight="true" outlineLevel="0" collapsed="false">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ustomFormat="false" ht="15.75" hidden="false" customHeight="true" outlineLevel="0" collapsed="false">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ustomFormat="false" ht="15.75" hidden="false" customHeight="true" outlineLevel="0" collapsed="false">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ustomFormat="false" ht="15.75" hidden="false" customHeight="true" outlineLevel="0" collapsed="false">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ustomFormat="false" ht="15.75" hidden="false" customHeight="true" outlineLevel="0" collapsed="false">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ustomFormat="false" ht="15.75" hidden="false" customHeight="true" outlineLevel="0" collapsed="false">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ustomFormat="false" ht="15.75" hidden="false" customHeight="true" outlineLevel="0" collapsed="false">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ustomFormat="false" ht="15.75" hidden="false" customHeight="true" outlineLevel="0" collapsed="false">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ustomFormat="false" ht="15.75" hidden="false" customHeight="true" outlineLevel="0" collapsed="false">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ustomFormat="false" ht="15.75" hidden="false" customHeight="true" outlineLevel="0" collapsed="false">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ustomFormat="false" ht="15.75" hidden="false" customHeight="true" outlineLevel="0" collapsed="false">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ustomFormat="false" ht="15.75" hidden="false" customHeight="true" outlineLevel="0" collapsed="false">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ustomFormat="false" ht="15.75" hidden="false" customHeight="true" outlineLevel="0" collapsed="false">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ustomFormat="false" ht="15.75" hidden="false" customHeight="true" outlineLevel="0" collapsed="false">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ustomFormat="false" ht="15.75" hidden="false" customHeight="true" outlineLevel="0" collapsed="false">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ustomFormat="false" ht="15.75" hidden="false" customHeight="true" outlineLevel="0" collapsed="false">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ustomFormat="false" ht="15.75" hidden="false" customHeight="true" outlineLevel="0" collapsed="false">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ustomFormat="false" ht="15.75" hidden="false" customHeight="true" outlineLevel="0" collapsed="false">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ustomFormat="false" ht="15.75" hidden="false" customHeight="true" outlineLevel="0" collapsed="false">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ustomFormat="false" ht="15.75" hidden="false" customHeight="true" outlineLevel="0" collapsed="false">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ustomFormat="false" ht="15.75" hidden="false" customHeight="true" outlineLevel="0" collapsed="false">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ustomFormat="false" ht="15.75" hidden="false" customHeight="true" outlineLevel="0" collapsed="false">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ustomFormat="false" ht="15.75" hidden="false" customHeight="true" outlineLevel="0" collapsed="false">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ustomFormat="false" ht="15.75" hidden="false" customHeight="true" outlineLevel="0" collapsed="false">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ustomFormat="false" ht="15.75" hidden="false" customHeight="true" outlineLevel="0" collapsed="false">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ustomFormat="false" ht="15.75" hidden="false" customHeight="true" outlineLevel="0" collapsed="false">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ustomFormat="false" ht="15.75" hidden="false" customHeight="true" outlineLevel="0" collapsed="false">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ustomFormat="false" ht="15.75" hidden="false" customHeight="true" outlineLevel="0" collapsed="false">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ustomFormat="false" ht="15.75" hidden="false" customHeight="true" outlineLevel="0" collapsed="false">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ustomFormat="false" ht="15.75" hidden="false" customHeight="true" outlineLevel="0" collapsed="false">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ustomFormat="false" ht="15.75" hidden="false" customHeight="true" outlineLevel="0" collapsed="false">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ustomFormat="false" ht="15.75" hidden="false" customHeight="true" outlineLevel="0" collapsed="false">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ustomFormat="false" ht="15.75" hidden="false" customHeight="true" outlineLevel="0" collapsed="false">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ustomFormat="false" ht="15.75" hidden="false" customHeight="true" outlineLevel="0" collapsed="false">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ustomFormat="false" ht="15.75" hidden="false" customHeight="true" outlineLevel="0" collapsed="false">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ustomFormat="false" ht="15.75" hidden="false" customHeight="true" outlineLevel="0" collapsed="false">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ustomFormat="false" ht="15.75" hidden="false" customHeight="true" outlineLevel="0" collapsed="false">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ustomFormat="false" ht="15.75" hidden="false" customHeight="true" outlineLevel="0" collapsed="false">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ustomFormat="false" ht="15.75" hidden="false" customHeight="true" outlineLevel="0" collapsed="false">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ustomFormat="false" ht="15.75" hidden="false" customHeight="true" outlineLevel="0" collapsed="false">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ustomFormat="false" ht="15.75" hidden="false" customHeight="true" outlineLevel="0" collapsed="false">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ustomFormat="false" ht="15.75" hidden="false" customHeight="true" outlineLevel="0" collapsed="false">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ustomFormat="false" ht="15.75" hidden="false" customHeight="true" outlineLevel="0" collapsed="false">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ustomFormat="false" ht="15.75" hidden="false" customHeight="true" outlineLevel="0" collapsed="false">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ustomFormat="false" ht="15.75" hidden="false" customHeight="true" outlineLevel="0" collapsed="false">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ustomFormat="false" ht="15.75" hidden="false" customHeight="true" outlineLevel="0" collapsed="false">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ustomFormat="false" ht="15.75" hidden="false" customHeight="true" outlineLevel="0" collapsed="false">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ustomFormat="false" ht="15.75" hidden="false" customHeight="true" outlineLevel="0" collapsed="false">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ustomFormat="false" ht="15.75" hidden="false" customHeight="true" outlineLevel="0" collapsed="false">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ustomFormat="false" ht="15.75" hidden="false" customHeight="true" outlineLevel="0" collapsed="false">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ustomFormat="false" ht="15.75" hidden="false" customHeight="true" outlineLevel="0" collapsed="false">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ustomFormat="false" ht="15.75" hidden="false" customHeight="true" outlineLevel="0" collapsed="false">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ustomFormat="false" ht="15.75" hidden="false" customHeight="true" outlineLevel="0" collapsed="false">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ustomFormat="false" ht="15.75" hidden="false" customHeight="true" outlineLevel="0" collapsed="false">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ustomFormat="false" ht="15.75" hidden="false" customHeight="true" outlineLevel="0" collapsed="false">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ustomFormat="false" ht="15.75" hidden="false" customHeight="true" outlineLevel="0" collapsed="false">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ustomFormat="false" ht="15.75" hidden="false" customHeight="true" outlineLevel="0" collapsed="false">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ustomFormat="false" ht="15.75" hidden="false" customHeight="true" outlineLevel="0" collapsed="false">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ustomFormat="false" ht="15.75" hidden="false" customHeight="true" outlineLevel="0" collapsed="false">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ustomFormat="false" ht="15.75" hidden="false" customHeight="true" outlineLevel="0" collapsed="false">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ustomFormat="false" ht="15.75" hidden="false" customHeight="true" outlineLevel="0" collapsed="false">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ustomFormat="false" ht="15.75" hidden="false" customHeight="true" outlineLevel="0" collapsed="false">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ustomFormat="false" ht="15.75" hidden="false" customHeight="true" outlineLevel="0" collapsed="false">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ustomFormat="false" ht="15.75" hidden="false" customHeight="true" outlineLevel="0" collapsed="false">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ustomFormat="false" ht="15.75" hidden="false" customHeight="true" outlineLevel="0" collapsed="false">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ustomFormat="false" ht="15.75" hidden="false" customHeight="true" outlineLevel="0" collapsed="false">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ustomFormat="false" ht="15.75" hidden="false" customHeight="true" outlineLevel="0" collapsed="false">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ustomFormat="false" ht="15.75" hidden="false" customHeight="true" outlineLevel="0" collapsed="false">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ustomFormat="false" ht="15.75" hidden="false" customHeight="true" outlineLevel="0" collapsed="false">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ustomFormat="false" ht="15.75" hidden="false" customHeight="true" outlineLevel="0" collapsed="false">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ustomFormat="false" ht="15.75" hidden="false" customHeight="true" outlineLevel="0" collapsed="false">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ustomFormat="false" ht="15.75" hidden="false" customHeight="true" outlineLevel="0" collapsed="false">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ustomFormat="false" ht="15.75" hidden="false" customHeight="true" outlineLevel="0" collapsed="false">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ustomFormat="false" ht="15.75" hidden="false" customHeight="true" outlineLevel="0" collapsed="false">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ustomFormat="false" ht="15.75" hidden="false" customHeight="true" outlineLevel="0" collapsed="false">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ustomFormat="false" ht="15.75" hidden="false" customHeight="true" outlineLevel="0" collapsed="false">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ustomFormat="false" ht="15.75" hidden="false" customHeight="true" outlineLevel="0" collapsed="false">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ustomFormat="false" ht="15.75" hidden="false" customHeight="true" outlineLevel="0" collapsed="false">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ustomFormat="false" ht="15.75" hidden="false" customHeight="true" outlineLevel="0" collapsed="false">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ustomFormat="false" ht="15.75" hidden="false" customHeight="true" outlineLevel="0" collapsed="false">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ustomFormat="false" ht="15.75" hidden="false" customHeight="true" outlineLevel="0" collapsed="false">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ustomFormat="false" ht="15.75" hidden="false" customHeight="true" outlineLevel="0" collapsed="false">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ustomFormat="false" ht="15.75" hidden="false" customHeight="true" outlineLevel="0" collapsed="false">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ustomFormat="false" ht="15.75" hidden="false" customHeight="true" outlineLevel="0" collapsed="false">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ustomFormat="false" ht="15.75" hidden="false" customHeight="true" outlineLevel="0" collapsed="false">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ustomFormat="false" ht="15.75" hidden="false" customHeight="true" outlineLevel="0" collapsed="false">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ustomFormat="false" ht="15.75" hidden="false" customHeight="true" outlineLevel="0" collapsed="false">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ustomFormat="false" ht="15.75" hidden="false" customHeight="true" outlineLevel="0" collapsed="false">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ustomFormat="false" ht="15.75" hidden="false" customHeight="true" outlineLevel="0" collapsed="false">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ustomFormat="false" ht="15.75" hidden="false" customHeight="true" outlineLevel="0" collapsed="false">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ustomFormat="false" ht="15.75" hidden="false" customHeight="true" outlineLevel="0" collapsed="false">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ustomFormat="false" ht="15.75" hidden="false" customHeight="true" outlineLevel="0" collapsed="false">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ustomFormat="false" ht="15.75" hidden="false" customHeight="true" outlineLevel="0" collapsed="false">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ustomFormat="false" ht="15.75" hidden="false" customHeight="true" outlineLevel="0" collapsed="false">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ustomFormat="false" ht="15.75" hidden="false" customHeight="true" outlineLevel="0" collapsed="false">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ustomFormat="false" ht="15.75" hidden="false" customHeight="true" outlineLevel="0" collapsed="false">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ustomFormat="false" ht="15.75" hidden="false" customHeight="true" outlineLevel="0" collapsed="false">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ustomFormat="false" ht="15.75" hidden="false" customHeight="true" outlineLevel="0" collapsed="false">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ustomFormat="false" ht="15.75" hidden="false" customHeight="true" outlineLevel="0" collapsed="false">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ustomFormat="false" ht="15.75" hidden="false" customHeight="true" outlineLevel="0" collapsed="false">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ustomFormat="false" ht="15.75" hidden="false" customHeight="true" outlineLevel="0" collapsed="false">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ustomFormat="false" ht="15.75" hidden="false" customHeight="true" outlineLevel="0" collapsed="false">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ustomFormat="false" ht="15.75" hidden="false" customHeight="true" outlineLevel="0" collapsed="false">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ustomFormat="false" ht="15.75" hidden="false" customHeight="true" outlineLevel="0" collapsed="false">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ustomFormat="false" ht="15.75" hidden="false" customHeight="true" outlineLevel="0" collapsed="false">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ustomFormat="false" ht="15.75" hidden="false" customHeight="true" outlineLevel="0" collapsed="false">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ustomFormat="false" ht="15.75" hidden="false" customHeight="true" outlineLevel="0" collapsed="false">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ustomFormat="false" ht="15.75" hidden="false" customHeight="true" outlineLevel="0" collapsed="false">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ustomFormat="false" ht="15.75" hidden="false" customHeight="true" outlineLevel="0" collapsed="false">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ustomFormat="false" ht="15.75" hidden="false" customHeight="true" outlineLevel="0" collapsed="false">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ustomFormat="false" ht="15.75" hidden="false" customHeight="true" outlineLevel="0" collapsed="false">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ustomFormat="false" ht="15.75" hidden="false" customHeight="true" outlineLevel="0" collapsed="false">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ustomFormat="false" ht="15.75" hidden="false" customHeight="true" outlineLevel="0" collapsed="false">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ustomFormat="false" ht="15.75" hidden="false" customHeight="true" outlineLevel="0" collapsed="false">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ustomFormat="false" ht="15.75" hidden="false" customHeight="true" outlineLevel="0" collapsed="false">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ustomFormat="false" ht="15.75" hidden="false" customHeight="true" outlineLevel="0" collapsed="false">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ustomFormat="false" ht="15.75" hidden="false" customHeight="true" outlineLevel="0" collapsed="false">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ustomFormat="false" ht="15.75" hidden="false" customHeight="true" outlineLevel="0" collapsed="false">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ustomFormat="false" ht="15.75" hidden="false" customHeight="true" outlineLevel="0" collapsed="false">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ustomFormat="false" ht="15.75" hidden="false" customHeight="true" outlineLevel="0" collapsed="false">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ustomFormat="false" ht="15.75" hidden="false" customHeight="true" outlineLevel="0" collapsed="false">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ustomFormat="false" ht="15.75" hidden="false" customHeight="true" outlineLevel="0" collapsed="false">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ustomFormat="false" ht="15.75" hidden="false" customHeight="true" outlineLevel="0" collapsed="false">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ustomFormat="false" ht="15.75" hidden="false" customHeight="true" outlineLevel="0" collapsed="false">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ustomFormat="false" ht="15.75" hidden="false" customHeight="true" outlineLevel="0" collapsed="false">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ustomFormat="false" ht="15.75" hidden="false" customHeight="true" outlineLevel="0" collapsed="false">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ustomFormat="false" ht="15.75" hidden="false" customHeight="true" outlineLevel="0" collapsed="false">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ustomFormat="false" ht="15.75" hidden="false" customHeight="true" outlineLevel="0" collapsed="false">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ustomFormat="false" ht="15.75" hidden="false" customHeight="true" outlineLevel="0" collapsed="false">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ustomFormat="false" ht="15.75" hidden="false" customHeight="true" outlineLevel="0" collapsed="false">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ustomFormat="false" ht="15.75" hidden="false" customHeight="true" outlineLevel="0" collapsed="false">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ustomFormat="false" ht="15.75" hidden="false" customHeight="true" outlineLevel="0" collapsed="false">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ustomFormat="false" ht="15.75" hidden="false" customHeight="true" outlineLevel="0" collapsed="false">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ustomFormat="false" ht="15.75" hidden="false" customHeight="true" outlineLevel="0" collapsed="false">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ustomFormat="false" ht="15.75" hidden="false" customHeight="true" outlineLevel="0" collapsed="false">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ustomFormat="false" ht="15.75" hidden="false" customHeight="true" outlineLevel="0" collapsed="false">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ustomFormat="false" ht="15.75" hidden="false" customHeight="true" outlineLevel="0" collapsed="false">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ustomFormat="false" ht="15.75" hidden="false" customHeight="true" outlineLevel="0" collapsed="false">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ustomFormat="false" ht="15.75" hidden="false" customHeight="true" outlineLevel="0" collapsed="false">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ustomFormat="false" ht="15.75" hidden="false" customHeight="true" outlineLevel="0" collapsed="false">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ustomFormat="false" ht="15.75" hidden="false" customHeight="true" outlineLevel="0" collapsed="false">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ustomFormat="false" ht="15.75" hidden="false" customHeight="true" outlineLevel="0" collapsed="false">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ustomFormat="false" ht="15.75" hidden="false" customHeight="true" outlineLevel="0" collapsed="false">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ustomFormat="false" ht="15.75" hidden="false" customHeight="true" outlineLevel="0" collapsed="false">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ustomFormat="false" ht="15.75" hidden="false" customHeight="true" outlineLevel="0" collapsed="false">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ustomFormat="false" ht="15.75" hidden="false" customHeight="true" outlineLevel="0" collapsed="false">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ustomFormat="false" ht="15.75" hidden="false" customHeight="true" outlineLevel="0" collapsed="false">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ustomFormat="false" ht="15.75" hidden="false" customHeight="true" outlineLevel="0" collapsed="false">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ustomFormat="false" ht="15.75" hidden="false" customHeight="true" outlineLevel="0" collapsed="false">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ustomFormat="false" ht="15.75" hidden="false" customHeight="true" outlineLevel="0" collapsed="false">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ustomFormat="false" ht="15.75" hidden="false" customHeight="true" outlineLevel="0" collapsed="false">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ustomFormat="false" ht="15.75" hidden="false" customHeight="true" outlineLevel="0" collapsed="false">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ustomFormat="false" ht="15.75" hidden="false" customHeight="true" outlineLevel="0" collapsed="false">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ustomFormat="false" ht="15.75" hidden="false" customHeight="true" outlineLevel="0" collapsed="false">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ustomFormat="false" ht="15.75" hidden="false" customHeight="true" outlineLevel="0" collapsed="false">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ustomFormat="false" ht="15.75" hidden="false" customHeight="true" outlineLevel="0" collapsed="false">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ustomFormat="false" ht="15.75" hidden="false" customHeight="true" outlineLevel="0" collapsed="false">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ustomFormat="false" ht="15.75" hidden="false" customHeight="true" outlineLevel="0" collapsed="false">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ustomFormat="false" ht="15.75" hidden="false" customHeight="true" outlineLevel="0" collapsed="false">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ustomFormat="false" ht="15.75" hidden="false" customHeight="true" outlineLevel="0" collapsed="false">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ustomFormat="false" ht="15.75" hidden="false" customHeight="true" outlineLevel="0" collapsed="false">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ustomFormat="false" ht="15.75" hidden="false" customHeight="true" outlineLevel="0" collapsed="false">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ustomFormat="false" ht="15.75" hidden="false" customHeight="true" outlineLevel="0" collapsed="false">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ustomFormat="false" ht="15.75" hidden="false" customHeight="true" outlineLevel="0" collapsed="false">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ustomFormat="false" ht="15.75" hidden="false" customHeight="true" outlineLevel="0" collapsed="false">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ustomFormat="false" ht="15.75" hidden="false" customHeight="true" outlineLevel="0" collapsed="false">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ustomFormat="false" ht="15.75" hidden="false" customHeight="true" outlineLevel="0" collapsed="false">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ustomFormat="false" ht="15.75" hidden="false" customHeight="true" outlineLevel="0" collapsed="false">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ustomFormat="false" ht="15.75" hidden="false" customHeight="true" outlineLevel="0" collapsed="false">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ustomFormat="false" ht="15.75" hidden="false" customHeight="true" outlineLevel="0" collapsed="false">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ustomFormat="false" ht="15.75" hidden="false" customHeight="true" outlineLevel="0" collapsed="false">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ustomFormat="false" ht="15.75" hidden="false" customHeight="true" outlineLevel="0" collapsed="false">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ustomFormat="false" ht="15.75" hidden="false" customHeight="true" outlineLevel="0" collapsed="false">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ustomFormat="false" ht="15.75" hidden="false" customHeight="true" outlineLevel="0" collapsed="false">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ustomFormat="false" ht="15.75" hidden="false" customHeight="true" outlineLevel="0" collapsed="false">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ustomFormat="false" ht="15.75" hidden="false" customHeight="true" outlineLevel="0" collapsed="false">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ustomFormat="false" ht="15.75" hidden="false" customHeight="true" outlineLevel="0" collapsed="false">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ustomFormat="false" ht="15.75" hidden="false" customHeight="true" outlineLevel="0" collapsed="false">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ustomFormat="false" ht="15.75" hidden="false" customHeight="true" outlineLevel="0" collapsed="false">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ustomFormat="false" ht="15.75" hidden="false" customHeight="true" outlineLevel="0" collapsed="false">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ustomFormat="false" ht="15.75" hidden="false" customHeight="true" outlineLevel="0" collapsed="false">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ustomFormat="false" ht="15.75" hidden="false" customHeight="true" outlineLevel="0" collapsed="false">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ustomFormat="false" ht="15.75" hidden="false" customHeight="true" outlineLevel="0" collapsed="false">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ustomFormat="false" ht="15.75" hidden="false" customHeight="true" outlineLevel="0" collapsed="false">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ustomFormat="false" ht="15.75" hidden="false" customHeight="true" outlineLevel="0" collapsed="false">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ustomFormat="false" ht="15.75" hidden="false" customHeight="true" outlineLevel="0" collapsed="false">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ustomFormat="false" ht="15.75" hidden="false" customHeight="true" outlineLevel="0" collapsed="false">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ustomFormat="false" ht="15.75" hidden="false" customHeight="true" outlineLevel="0" collapsed="false">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ustomFormat="false" ht="15.75" hidden="false" customHeight="true" outlineLevel="0" collapsed="false">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ustomFormat="false" ht="15.75" hidden="false" customHeight="true" outlineLevel="0" collapsed="false">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ustomFormat="false" ht="15.75" hidden="false" customHeight="true" outlineLevel="0" collapsed="false">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ustomFormat="false" ht="15.75" hidden="false" customHeight="true" outlineLevel="0" collapsed="false">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ustomFormat="false" ht="15.75" hidden="false" customHeight="true" outlineLevel="0" collapsed="false">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ustomFormat="false" ht="15.75" hidden="false" customHeight="true" outlineLevel="0" collapsed="false">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ustomFormat="false" ht="15.75" hidden="false" customHeight="true" outlineLevel="0" collapsed="false">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ustomFormat="false" ht="15.75" hidden="false" customHeight="true" outlineLevel="0" collapsed="false">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ustomFormat="false" ht="15.75" hidden="false" customHeight="true" outlineLevel="0" collapsed="false">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ustomFormat="false" ht="15.75" hidden="false" customHeight="true" outlineLevel="0" collapsed="false">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ustomFormat="false" ht="15.75" hidden="false" customHeight="true" outlineLevel="0" collapsed="false">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ustomFormat="false" ht="15.75" hidden="false" customHeight="true" outlineLevel="0" collapsed="false">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ustomFormat="false" ht="15.75" hidden="false" customHeight="true" outlineLevel="0" collapsed="false">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ustomFormat="false" ht="15.75" hidden="false" customHeight="true" outlineLevel="0" collapsed="false">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ustomFormat="false" ht="15.75" hidden="false" customHeight="true" outlineLevel="0" collapsed="false">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ustomFormat="false" ht="15.75" hidden="false" customHeight="true" outlineLevel="0" collapsed="false">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ustomFormat="false" ht="15.75" hidden="false" customHeight="true" outlineLevel="0" collapsed="false">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ustomFormat="false" ht="15.75" hidden="false" customHeight="true" outlineLevel="0" collapsed="false">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ustomFormat="false" ht="15.75" hidden="false" customHeight="true" outlineLevel="0" collapsed="false">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ustomFormat="false" ht="15.75" hidden="false" customHeight="true" outlineLevel="0" collapsed="false">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ustomFormat="false" ht="15.75" hidden="false" customHeight="true" outlineLevel="0" collapsed="false">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ustomFormat="false" ht="15.75" hidden="false" customHeight="true" outlineLevel="0" collapsed="false">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ustomFormat="false" ht="15.75" hidden="false" customHeight="true" outlineLevel="0" collapsed="false">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ustomFormat="false" ht="15.75" hidden="false" customHeight="true" outlineLevel="0" collapsed="false">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ustomFormat="false" ht="15.75" hidden="false" customHeight="true" outlineLevel="0" collapsed="false">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ustomFormat="false" ht="15.75" hidden="false" customHeight="true" outlineLevel="0" collapsed="false">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ustomFormat="false" ht="15.75" hidden="false" customHeight="true" outlineLevel="0" collapsed="false">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ustomFormat="false" ht="15.75" hidden="false" customHeight="true" outlineLevel="0" collapsed="false">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ustomFormat="false" ht="15.75" hidden="false" customHeight="true" outlineLevel="0" collapsed="false">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ustomFormat="false" ht="15.75" hidden="false" customHeight="true" outlineLevel="0" collapsed="false">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ustomFormat="false" ht="15.75" hidden="false" customHeight="true" outlineLevel="0" collapsed="false">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ustomFormat="false" ht="15.75" hidden="false" customHeight="true" outlineLevel="0" collapsed="false">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ustomFormat="false" ht="15.75" hidden="false" customHeight="true" outlineLevel="0" collapsed="false">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ustomFormat="false" ht="15.75" hidden="false" customHeight="true" outlineLevel="0" collapsed="false">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ustomFormat="false" ht="15.75" hidden="false" customHeight="true" outlineLevel="0" collapsed="false">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ustomFormat="false" ht="15.75" hidden="false" customHeight="true" outlineLevel="0" collapsed="false">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ustomFormat="false" ht="15.75" hidden="false" customHeight="true" outlineLevel="0" collapsed="false">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ustomFormat="false" ht="15.75" hidden="false" customHeight="true" outlineLevel="0" collapsed="false">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ustomFormat="false" ht="15.75" hidden="false" customHeight="true" outlineLevel="0" collapsed="false">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ustomFormat="false" ht="15.75" hidden="false" customHeight="true" outlineLevel="0" collapsed="false">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ustomFormat="false" ht="15.75" hidden="false" customHeight="true" outlineLevel="0" collapsed="false">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ustomFormat="false" ht="15.75" hidden="false" customHeight="true" outlineLevel="0" collapsed="false">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ustomFormat="false" ht="15.75" hidden="false" customHeight="true" outlineLevel="0" collapsed="false">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ustomFormat="false" ht="15.75" hidden="false" customHeight="true" outlineLevel="0" collapsed="false">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ustomFormat="false" ht="15.75" hidden="false" customHeight="true" outlineLevel="0" collapsed="false">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ustomFormat="false" ht="15.75" hidden="false" customHeight="true" outlineLevel="0" collapsed="false">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ustomFormat="false" ht="15.75" hidden="false" customHeight="true" outlineLevel="0" collapsed="false">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ustomFormat="false" ht="15.75" hidden="false" customHeight="true" outlineLevel="0" collapsed="false">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ustomFormat="false" ht="15.75" hidden="false" customHeight="true" outlineLevel="0" collapsed="false">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ustomFormat="false" ht="15.75" hidden="false" customHeight="true" outlineLevel="0" collapsed="false">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ustomFormat="false" ht="15.75" hidden="false" customHeight="true" outlineLevel="0" collapsed="false">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ustomFormat="false" ht="15.75" hidden="false" customHeight="true" outlineLevel="0" collapsed="false">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ustomFormat="false" ht="15.75" hidden="false" customHeight="true" outlineLevel="0" collapsed="false">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ustomFormat="false" ht="15.75" hidden="false" customHeight="true" outlineLevel="0" collapsed="false">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ustomFormat="false" ht="15.75" hidden="false" customHeight="true" outlineLevel="0" collapsed="false">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ustomFormat="false" ht="15.75" hidden="false" customHeight="true" outlineLevel="0" collapsed="false">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ustomFormat="false" ht="15.75" hidden="false" customHeight="true" outlineLevel="0" collapsed="false">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ustomFormat="false" ht="15.75" hidden="false" customHeight="true" outlineLevel="0" collapsed="false">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ustomFormat="false" ht="15.75" hidden="false" customHeight="true" outlineLevel="0" collapsed="false">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ustomFormat="false" ht="15.75" hidden="false" customHeight="true" outlineLevel="0" collapsed="false">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ustomFormat="false" ht="15.75" hidden="false" customHeight="true" outlineLevel="0" collapsed="false">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ustomFormat="false" ht="15.75" hidden="false" customHeight="true" outlineLevel="0" collapsed="false">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ustomFormat="false" ht="15.75" hidden="false" customHeight="true" outlineLevel="0" collapsed="false">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ustomFormat="false" ht="15.75" hidden="false" customHeight="true" outlineLevel="0" collapsed="false">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ustomFormat="false" ht="15.75" hidden="false" customHeight="true" outlineLevel="0" collapsed="false">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ustomFormat="false" ht="15.75" hidden="false" customHeight="true" outlineLevel="0" collapsed="false">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ustomFormat="false" ht="15.75" hidden="false" customHeight="true" outlineLevel="0" collapsed="false">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ustomFormat="false" ht="15.75" hidden="false" customHeight="true" outlineLevel="0" collapsed="false">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ustomFormat="false" ht="15.75" hidden="false" customHeight="true" outlineLevel="0" collapsed="false">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ustomFormat="false" ht="15.75" hidden="false" customHeight="true" outlineLevel="0" collapsed="false">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ustomFormat="false" ht="15.75" hidden="false" customHeight="true" outlineLevel="0" collapsed="false">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ustomFormat="false" ht="15.75" hidden="false" customHeight="true" outlineLevel="0" collapsed="false">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ustomFormat="false" ht="15.75" hidden="false" customHeight="true" outlineLevel="0" collapsed="false">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ustomFormat="false" ht="15.75" hidden="false" customHeight="true" outlineLevel="0" collapsed="false">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ustomFormat="false" ht="15.75" hidden="false" customHeight="true" outlineLevel="0" collapsed="false">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ustomFormat="false" ht="15.75" hidden="false" customHeight="true" outlineLevel="0" collapsed="false">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ustomFormat="false" ht="15.75" hidden="false" customHeight="true" outlineLevel="0" collapsed="false">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ustomFormat="false" ht="15.75" hidden="false" customHeight="true" outlineLevel="0" collapsed="false">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ustomFormat="false" ht="15.75" hidden="false" customHeight="true" outlineLevel="0" collapsed="false">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ustomFormat="false" ht="15.75" hidden="false" customHeight="true" outlineLevel="0" collapsed="false">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ustomFormat="false" ht="15.75" hidden="false" customHeight="true" outlineLevel="0" collapsed="false">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ustomFormat="false" ht="15.75" hidden="false" customHeight="true" outlineLevel="0" collapsed="false">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ustomFormat="false" ht="15.75" hidden="false" customHeight="true" outlineLevel="0" collapsed="false">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headings="false" gridLines="false" gridLinesSet="true" horizontalCentered="false" verticalCentered="false"/>
  <pageMargins left="0.7" right="0.7" top="0.75" bottom="0.75" header="0.511811023622047" footer="0.511811023622047"/>
  <pageSetup paperSize="9" scale="68"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LibreOffice/26.8.1.1$Linux_X86_64 LibreOffice_project/bf8adb135da2784a1be3ca33001278b7a20af5c1</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dc:description/>
  <dc:language>en-US</dc:language>
  <cp:lastModifiedBy/>
  <dcterms:modified xsi:type="dcterms:W3CDTF">2026-10-30T04:05:41Z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