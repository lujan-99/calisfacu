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istorias de Usuario" sheetId="1" state="visible" r:id="rId3"/>
    <sheet name="Plan de sprints" sheetId="2" state="visible" r:id="rId4"/>
    <sheet name="Tareas (Sprint Backlog)" sheetId="3" state="visible" r:id="rId5"/>
    <sheet name="DoR y DoD" sheetId="4" state="visible" r:id="rId6"/>
    <sheet name="Criterios de aceptación" sheetId="5" state="visible" r:id="rId7"/>
    <sheet name="Reglas MinEdu" sheetId="6" state="visible" r:id="rId8"/>
    <sheet name="Hallazgos" sheetId="7" state="visible" r:id="rId9"/>
    <sheet name="Instructivo" sheetId="8" state="visible" r:id="rId10"/>
  </sheets>
  <definedNames>
    <definedName function="false" hidden="true" localSheetId="2" name="_xlnm._FilterDatabase" vbProcedure="false">'Tareas (Sprint Backlog)'!$A$4:$J$73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<sst xmlns="http://schemas.openxmlformats.org/spreadsheetml/2006/main" count="1260" uniqueCount="572">
  <si>
    <t xml:space="preserve">Desarrollo ágil: Pila de Producto (Product Backlog)</t>
  </si>
  <si>
    <t xml:space="preserve">Identificador (ID) de la Historia</t>
  </si>
  <si>
    <t xml:space="preserve">Enunciado de la Historia</t>
  </si>
  <si>
    <t xml:space="preserve">Alias</t>
  </si>
  <si>
    <t xml:space="preserve">Estado</t>
  </si>
  <si>
    <t xml:space="preserve">Puntos Valor</t>
  </si>
  <si>
    <t xml:space="preserve">Puntos Historia</t>
  </si>
  <si>
    <t xml:space="preserve">ROI</t>
  </si>
  <si>
    <t xml:space="preserve">Iteración (Sprint)</t>
  </si>
  <si>
    <t xml:space="preserve">Prioridad</t>
  </si>
  <si>
    <t xml:space="preserve">Comentarios</t>
  </si>
  <si>
    <t xml:space="preserve">US-17</t>
  </si>
  <si>
    <t xml:space="preserve">Como usuario del sistema (profesor, secretaria, padre de familia o administrador), quiero iniciar sesión con mi cuenta y ver solo las opciones de mi rol, para que nadie más pueda ver o modificar las notas que me corresponden.</t>
  </si>
  <si>
    <t xml:space="preserve">Autenticación y Roles</t>
  </si>
  <si>
    <t xml:space="preserve">Planificada</t>
  </si>
  <si>
    <t xml:space="preserve">Sprint 1</t>
  </si>
  <si>
    <t xml:space="preserve">ALTA</t>
  </si>
  <si>
    <t xml:space="preserve">NUEVA (propuesta del análisis; requiere aprobación del docente). Base de todas las historias: sin ella no se cumple RNF-04 (solo el docente de la materia modifica notas) ni la métrica M09.</t>
  </si>
  <si>
    <t xml:space="preserve">US-18</t>
  </si>
  <si>
    <t xml:space="preserve">Como secretaria, quiero registrar la gestión, sus trimestres, los cursos, las materias y los estudiantes, y asignar cada materia a su profesor, para que cada profesor trabaje solo con sus cursos y materias.</t>
  </si>
  <si>
    <t xml:space="preserve">Gestión Académica Base</t>
  </si>
  <si>
    <t xml:space="preserve">NUEVA (propuesta del análisis; requiere aprobación del docente). US-01 necesita que existan estudiantes, materias, periodos y la asignación profesor–materia.</t>
  </si>
  <si>
    <t xml:space="preserve">US-01</t>
  </si>
  <si>
    <t xml:space="preserve">Como profesor, quiero registrar las calificaciones de cada estudiante por materia, actividad y periodo en un sistema único, para dejar de tener notas dispersas entre cuadernos, Excel y mensajes de WhatsApp.</t>
  </si>
  <si>
    <t xml:space="preserve">Registro Central de Notas</t>
  </si>
  <si>
    <t xml:space="preserve">Depende de US-17 y US-18. Módulo crítico del SQAP (TDD obligatorio).</t>
  </si>
  <si>
    <t xml:space="preserve">US-02</t>
  </si>
  <si>
    <t xml:space="preserve">Como profesor, quiero que el sistema calcule automáticamente el promedio y la nota final de cada estudiante por periodo según la ponderación que yo defina para cada tipo de actividad, para evitar errores de cálculo manual y ahorrar horas al cierre de trimestre.</t>
  </si>
  <si>
    <t xml:space="preserve">Cálculo Automático de Promedios</t>
  </si>
  <si>
    <t xml:space="preserve">Depende de US-01 y US-18. Módulo crítico del SQAP (TDD, cobertura ≥ 90 %). Se adelanta al Sprint 1 porque es el núcleo del sistema y el mayor riesgo (R02). Importante: las ponderaciones no las decide el profesor; las fija el Ministerio de Educación por dimensión (RM 001/2026: Ser 10, Saber 45, Hacer 40, Autoevaluación 5). El profesor define las actividades dentro de cada dimensión (ver hoja Reglas MinEdu).</t>
  </si>
  <si>
    <t xml:space="preserve">US-04</t>
  </si>
  <si>
    <t xml:space="preserve">Como profesor, quiero corregir una nota ya registrada y que el sistema guarde quién la cambió, cuándo y cuál era el valor anterior, para poder justificar cualquier corrección ante los padres o la dirección académica.</t>
  </si>
  <si>
    <t xml:space="preserve">Corrección Auditable de Notas</t>
  </si>
  <si>
    <t xml:space="preserve">Sprint 2</t>
  </si>
  <si>
    <t xml:space="preserve">Depende de US-01. Se propone como tercer módulo crítico del SQAP (cubre RNF-04).</t>
  </si>
  <si>
    <t xml:space="preserve">US-03</t>
  </si>
  <si>
    <t xml:space="preserve">Como profesor, quiero consultar en cualquier momento el historial completo de notas de un estudiante a lo largo del año, para identificar su evolución académica sin tener que buscar en registros físicos anteriores.</t>
  </si>
  <si>
    <t xml:space="preserve">Historial Académico del Estudiante</t>
  </si>
  <si>
    <t xml:space="preserve">Depende de US-01.</t>
  </si>
  <si>
    <t xml:space="preserve">US-19</t>
  </si>
  <si>
    <t xml:space="preserve">Como profesor, quiero registrar la asistencia de mis estudiantes en cada clase, para que el sistema calcule su porcentaje de asistencia sin llevarlo en un cuaderno aparte.</t>
  </si>
  <si>
    <t xml:space="preserve">Registro de Asistencia</t>
  </si>
  <si>
    <t xml:space="preserve">NUEVA (propuesta del análisis; requiere aprobación del docente). US-06 y US-07 muestran el porcentaje de asistencia, pero ninguna historia lo registraba. Depende de US-18.</t>
  </si>
  <si>
    <t xml:space="preserve">US-05</t>
  </si>
  <si>
    <t xml:space="preserve">Como profesor, quiero importar las notas que ya tengo registradas en planillas Excel para migrarlas al sistema sin volver a digitarlas una por una, para que la adopción no me genere doble trabajo.</t>
  </si>
  <si>
    <t xml:space="preserve">Importación desde Excel</t>
  </si>
  <si>
    <t xml:space="preserve">MEDIA</t>
  </si>
  <si>
    <t xml:space="preserve">Depende de US-01. Las notas importadas pasan por la misma validación y auditoría que US-01 y US-04.</t>
  </si>
  <si>
    <t xml:space="preserve">US-10</t>
  </si>
  <si>
    <t xml:space="preserve">Como secretaria, quiero ver qué profesores ya entregaron sus notas y cuáles faltan por curso, para hacer seguimiento antes del cierre del trimestre.</t>
  </si>
  <si>
    <t xml:space="preserve">Control de Entrega de Notas</t>
  </si>
  <si>
    <t xml:space="preserve">Depende de US-01 y US-18. (Valores estimados: validar con el dueño del producto.)</t>
  </si>
  <si>
    <t xml:space="preserve">US-06</t>
  </si>
  <si>
    <t xml:space="preserve">Como profesor, quiero ver en un solo panel el listado de estudiantes de mi curso con su promedio actual y su porcentaje de asistencia, para identificar de un vistazo quiénes están en riesgo académico antes del cierre de periodo.</t>
  </si>
  <si>
    <t xml:space="preserve">Panel de Riesgo Académico</t>
  </si>
  <si>
    <t xml:space="preserve">Sprint 3</t>
  </si>
  <si>
    <t xml:space="preserve">Depende de US-02 y US-19.</t>
  </si>
  <si>
    <t xml:space="preserve">US-07</t>
  </si>
  <si>
    <t xml:space="preserve">Como profesor, quiero generar el boletín de calificaciones de cada estudiante con sus notas por materia, promedio final y porcentaje de asistencia en un PDF listo para entregar, para no armar el documento manualmente al cierre de cada periodo.</t>
  </si>
  <si>
    <t xml:space="preserve">Boletín de Notas en PDF</t>
  </si>
  <si>
    <t xml:space="preserve">Depende de US-02, US-03 y US-19. Riesgo R05 / defecto CAL-001: generación en cola para cursos de más de 50 estudiantes.</t>
  </si>
  <si>
    <t xml:space="preserve">US-20</t>
  </si>
  <si>
    <t xml:space="preserve">Como secretaria, quiero vincular la cuenta de cada padre de familia con sus hijos, para que cada padre vea únicamente la información de sus propios hijos.</t>
  </si>
  <si>
    <t xml:space="preserve">Vinculación Padre–Estudiante</t>
  </si>
  <si>
    <t xml:space="preserve">NUEVA (propuesta del análisis; requiere aprobación del docente). US-11 y US-12 dicen "mi hijo", pero nada define qué hijo es de quién. Sin esto, un padre podría ver datos de otro estudiante (datos de menores).</t>
  </si>
  <si>
    <t xml:space="preserve">US-11</t>
  </si>
  <si>
    <t xml:space="preserve">Como padre de familia, quiero consultar y descargar el boletín de mi hijo desde el sistema, para conocer su rendimiento sin depender de que el estudiante me lo entregue.</t>
  </si>
  <si>
    <t xml:space="preserve">Consulta de Boletín</t>
  </si>
  <si>
    <t xml:space="preserve">Depende de US-07 y US-20 (mismo sprint: hacer primero US-07 y US-20). (Valores estimados: validar con el dueño del producto.)</t>
  </si>
  <si>
    <t xml:space="preserve">US-09</t>
  </si>
  <si>
    <t xml:space="preserve">Como secretaria, quiero que las notas de todos los profesores se centralicen automáticamente al cierre del trimestre, para no tener que recopilarlas y transcribirlas manualmente.</t>
  </si>
  <si>
    <t xml:space="preserve">Centralización de Notas</t>
  </si>
  <si>
    <t xml:space="preserve">Sprint 4</t>
  </si>
  <si>
    <t xml:space="preserve">Depende de US-01, US-02 y US-10. (Valores estimados: validar con el dueño del producto.)</t>
  </si>
  <si>
    <t xml:space="preserve">US-08</t>
  </si>
  <si>
    <t xml:space="preserve">Como profesor, quiero recibir una alerta automática cuando el promedio de un estudiante caiga por debajo del mínimo aprobatorio, para poder comunicarme con el tutor a tiempo y no enterarme recién al cierre del periodo.</t>
  </si>
  <si>
    <t xml:space="preserve">Alerta de Promedio Bajo</t>
  </si>
  <si>
    <t xml:space="preserve">BAJA</t>
  </si>
  <si>
    <t xml:space="preserve">Depende de US-02 y US-06. Canal de notificación: aviso en el sistema y correo (decisión D7 de `docs/backlog/reglas-ministerio.md`).</t>
  </si>
  <si>
    <t xml:space="preserve">US-12</t>
  </si>
  <si>
    <t xml:space="preserve">Como padre de familia, quiero recibir una notificación cuando el boletín de mi hijo esté disponible, para enterarme a tiempo de sus resultados.</t>
  </si>
  <si>
    <t xml:space="preserve">Aviso de Boletín</t>
  </si>
  <si>
    <t xml:space="preserve">Depende de US-07, US-11 y US-20. Usa el mismo canal de notificación que US-08. (Valores estimados: validar con el dueño del producto.)</t>
  </si>
  <si>
    <t xml:space="preserve">US-16</t>
  </si>
  <si>
    <t xml:space="preserve">Como secretaria, quiero registrar los pagos y ver un reporte de los estudiantes con mensualidades pendientes, para llevar el control sin tener que cobrar estudiante por estudiante.</t>
  </si>
  <si>
    <t xml:space="preserve">Control de Pagos</t>
  </si>
  <si>
    <t xml:space="preserve">Release 2 (fuera de v1.0)</t>
  </si>
  <si>
    <t xml:space="preserve">Propuesta: módulo de pagos fuera de la versión 1.0. No cabe en 4 sprints con 2 personas y los pagos elevan el nivel de integridad a 3 (IEEE 1012). Negociar con el docente. (Valores estimados: validar con el dueño del producto.)</t>
  </si>
  <si>
    <t xml:space="preserve">US-13</t>
  </si>
  <si>
    <t xml:space="preserve">Como padre de familia, quiero ver el estado de las mensualidades de mi hijo (pagadas, pendientes y vencidas), para saber exactamente cuánto debo y hasta cuándo.</t>
  </si>
  <si>
    <t xml:space="preserve">Estado de Mensualidades</t>
  </si>
  <si>
    <t xml:space="preserve">Depende de US-16. Módulo de pagos fuera de v1.0 (ver US-16). (Valores estimados: validar con el dueño del producto.)</t>
  </si>
  <si>
    <t xml:space="preserve">US-15</t>
  </si>
  <si>
    <t xml:space="preserve">Como padre de familia, quiero recibir recordatorios antes del vencimiento de cada mensualidad, para no depender de que mi hijo me avise.</t>
  </si>
  <si>
    <t xml:space="preserve">Recordatorio de Pago</t>
  </si>
  <si>
    <t xml:space="preserve">Depende de US-13. Módulo de pagos fuera de v1.0 (ver US-16). (Valores estimados: validar con el dueño del producto.)</t>
  </si>
  <si>
    <t xml:space="preserve">US-14</t>
  </si>
  <si>
    <t xml:space="preserve">Como padre de familia, quiero pagar las mensualidades en línea (QR o transferencia), para no tener que ir al colegio ni enviar el dinero con mi hijo.</t>
  </si>
  <si>
    <t xml:space="preserve">Pago en Línea</t>
  </si>
  <si>
    <t xml:space="preserve">Depende de US-13. Integración con QR/transferencia: requiere proveedor de pagos y controles de seguridad de nivel 3. Fuera de v1.0 (ver US-16). (Valores estimados: validar con el dueño del producto.)</t>
  </si>
  <si>
    <t xml:space="preserve">Leyenda:</t>
  </si>
  <si>
    <t xml:space="preserve">Amarillo = historia nueva propuesta (falta aprobación del docente). Gris = fuera de la versión 1.0 (Estado vacío = identificada, sin iteración asignada, según el Instructivo). Orden: por sprint y luego por prioridad.</t>
  </si>
  <si>
    <t xml:space="preserve">Plan de 4 sprints de 1 semana — CalisFacu v1.0</t>
  </si>
  <si>
    <t xml:space="preserve">Velocidad supuesta del equipo (puntos de historia por sprint)</t>
  </si>
  <si>
    <t xml:space="preserve">2 integrantes. Con sprints de 1 semana, 20 puntos por semana es exigente: medir la velocidad real al cerrar la semana 1 y, si es menor, recortar empezando por las historias BAJA del Sprint 4 (US-08, US-12).</t>
  </si>
  <si>
    <t xml:space="preserve">Duración de cada sprint (semanas)</t>
  </si>
  <si>
    <t xml:space="preserve">Plazo fijo del equipo: 4 semanas en total, un sprint por semana.</t>
  </si>
  <si>
    <t xml:space="preserve">Sprint</t>
  </si>
  <si>
    <t xml:space="preserve">Historias</t>
  </si>
  <si>
    <t xml:space="preserve">Puntos planificados</t>
  </si>
  <si>
    <t xml:space="preserve">Carga vs. velocidad</t>
  </si>
  <si>
    <t xml:space="preserve">Objetivo del sprint</t>
  </si>
  <si>
    <t xml:space="preserve">Actividades de calidad (SQAP) que cierran el sprint</t>
  </si>
  <si>
    <t xml:space="preserve">US-17, US-18, US-01, US-02</t>
  </si>
  <si>
    <t xml:space="preserve">Semana 1. Un profesor inicia sesión, registra notas de su materia y ve el promedio calculado correctamente.</t>
  </si>
  <si>
    <t xml:space="preserve">Días 1–2: revisión e inspección Fagan del SRS con el cliente; tabla de casos de prueba del cálculo según la RM 001/2026, firmada por el cliente (R02); inspección Fagan del SAD · Día 2: repositorio con develop y main protegidas, Husky y Jenkins Multibranch; staging con despliegue continuo y smoke test (ADR-0009) (ESLint + Prettier, Jest + cobertura, SonarQube Cloud, npm audit) · Día 5: auditoría de cierre del Sprint 1</t>
  </si>
  <si>
    <t xml:space="preserve">US-04, US-03, US-19, US-05, US-10</t>
  </si>
  <si>
    <t xml:space="preserve">Semana 2. Las notas se corrigen con auditoría, se importan desde Excel y se registra la asistencia.</t>
  </si>
  <si>
    <t xml:space="preserve">Día 1: revisión de diseño detallado de US-04 y US-05 · Primeros escenarios E2E de Cypress (Registrar calificación) · Día 5: auditoría de cierre del Sprint 2</t>
  </si>
  <si>
    <t xml:space="preserve">US-06, US-07, US-20, US-11</t>
  </si>
  <si>
    <t xml:space="preserve">Semana 3. El profesor genera el boletín en PDF y el padre lo consulta.</t>
  </si>
  <si>
    <t xml:space="preserve">Día 4: release candidate RC1 con E2E completo y prueba de carga JMeter (M03, M04) · Prueba de usabilidad con profesores nuevos · Día 5: auditoría de cierre del Sprint 3</t>
  </si>
  <si>
    <t xml:space="preserve">US-09, US-08, US-12</t>
  </si>
  <si>
    <t xml:space="preserve">Semana 4. La secretaria centraliza las notas del trimestre en el formato de la planilla oficial y los avisos automáticos funcionan.</t>
  </si>
  <si>
    <t xml:space="preserve">Día 3: RC2 con todas las métricas en verde · Día 4: pruebas de aceptación con el cliente (acta firmada) · Manual de usuario y manual técnico · Día 5: auditoría final del SQAP y release v1.0</t>
  </si>
  <si>
    <t xml:space="preserve">US-16, US-13, US-15, US-14</t>
  </si>
  <si>
    <t xml:space="preserve">Módulo de pagos (propuesto para una versión posterior).</t>
  </si>
  <si>
    <t xml:space="preserve">Si se incluye: reevaluar el nivel de integridad a 3 y actualizar el SQAP antes de construir.</t>
  </si>
  <si>
    <t xml:space="preserve">Total v1.0 (Sprints 1 a 4)</t>
  </si>
  <si>
    <t xml:space="preserve">Total backlog completo</t>
  </si>
  <si>
    <t xml:space="preserve">Capacidad por persona (horas por semana)</t>
  </si>
  <si>
    <t xml:space="preserve">Supuesto: ajustar a las horas reales que cada uno puede dedicar.</t>
  </si>
  <si>
    <t xml:space="preserve">Horas Lujan</t>
  </si>
  <si>
    <t xml:space="preserve">Horas Galvan</t>
  </si>
  <si>
    <t xml:space="preserve">Estado Lujan</t>
  </si>
  <si>
    <t xml:space="preserve">Estado Galvan</t>
  </si>
  <si>
    <t xml:space="preserve">Pila del sprint: tareas por historia</t>
  </si>
  <si>
    <t xml:space="preserve">Revisor = el otro integrante (nadie aprueba su propio PR). "Backend (crítico)" = módulos críticos del SQAP: los programa Lujan y los aprueba Galvan, que no programa módulos críticos. Horas = estimación inicial; ajustar en la planificación de cada sprint.</t>
  </si>
  <si>
    <t xml:space="preserve">ID</t>
  </si>
  <si>
    <t xml:space="preserve">Historia</t>
  </si>
  <si>
    <t xml:space="preserve">Tarea</t>
  </si>
  <si>
    <t xml:space="preserve">Tipo</t>
  </si>
  <si>
    <t xml:space="preserve">Responsable</t>
  </si>
  <si>
    <t xml:space="preserve">Revisor</t>
  </si>
  <si>
    <t xml:space="preserve">Horas est.</t>
  </si>
  <si>
    <t xml:space="preserve">Criterio / métrica</t>
  </si>
  <si>
    <t xml:space="preserve">T-001</t>
  </si>
  <si>
    <t xml:space="preserve">Calidad</t>
  </si>
  <si>
    <t xml:space="preserve">Inspección Fagan del SRS con el cliente (moderador y escriba); acta en docs/actas/</t>
  </si>
  <si>
    <t xml:space="preserve">Revisión</t>
  </si>
  <si>
    <t xml:space="preserve">Galvan</t>
  </si>
  <si>
    <t xml:space="preserve">Lujan</t>
  </si>
  <si>
    <t xml:space="preserve">Por hacer</t>
  </si>
  <si>
    <t xml:space="preserve">SQAP Sec. 6</t>
  </si>
  <si>
    <t xml:space="preserve">T-002</t>
  </si>
  <si>
    <t xml:space="preserve">Redactar el SAD: modelo de datos PostgreSQL, módulos NestJS y ADRs del stack</t>
  </si>
  <si>
    <t xml:space="preserve">Diseño</t>
  </si>
  <si>
    <t xml:space="preserve">SQAP Sec. 4</t>
  </si>
  <si>
    <t xml:space="preserve">T-003</t>
  </si>
  <si>
    <t xml:space="preserve">Inspección Fagan del SAD con un inspector de otro equipo; acta</t>
  </si>
  <si>
    <t xml:space="preserve">T-004</t>
  </si>
  <si>
    <t xml:space="preserve">Tabla de casos de prueba del cálculo (RM 001/2026, hoja Reglas MinEdu) firmada por el cliente; resolver los ❓</t>
  </si>
  <si>
    <t xml:space="preserve">Requerimientos</t>
  </si>
  <si>
    <t xml:space="preserve">R02</t>
  </si>
  <si>
    <t xml:space="preserve">T-005</t>
  </si>
  <si>
    <t xml:space="preserve">Infra</t>
  </si>
  <si>
    <t xml:space="preserve">Monorepo: api (NestJS + TypeORM) y web (React + Vite + TypeScript); Docker Compose con PostgreSQL</t>
  </si>
  <si>
    <t xml:space="preserve">T-006</t>
  </si>
  <si>
    <t xml:space="preserve">ESLint + Prettier; Husky + lint-staged + commitlint (Conventional Commits)</t>
  </si>
  <si>
    <t xml:space="preserve">Práctica 8</t>
  </si>
  <si>
    <t xml:space="preserve">T-007</t>
  </si>
  <si>
    <t xml:space="preserve">Jenkins en Docker (jenkins/) y job Multibranch: lint, pruebas con umbral de cobertura en Jest, build; PostgreSQL de CI</t>
  </si>
  <si>
    <t xml:space="preserve">M01, M05, M06</t>
  </si>
  <si>
    <t xml:space="preserve">T-008</t>
  </si>
  <si>
    <t xml:space="preserve">Proteger develop y main (PR + check de Jenkins) y npm audit en el CI</t>
  </si>
  <si>
    <t xml:space="preserve">M08</t>
  </si>
  <si>
    <t xml:space="preserve">T-009</t>
  </si>
  <si>
    <t xml:space="preserve">Entidad Usuario y Rol con migración de TypeORM; seed de usuarios sintéticos</t>
  </si>
  <si>
    <t xml:space="preserve">Backend</t>
  </si>
  <si>
    <t xml:space="preserve">R07</t>
  </si>
  <si>
    <t xml:space="preserve">T-010</t>
  </si>
  <si>
    <t xml:space="preserve">Autenticación JWT con Passport, contraseñas con argon2, bloqueo tras 5 intentos y expiración de sesión</t>
  </si>
  <si>
    <t xml:space="preserve">US-17 CA 1, 3, 4</t>
  </si>
  <si>
    <t xml:space="preserve">T-011</t>
  </si>
  <si>
    <t xml:space="preserve">Guard de roles y pruebas que exigen HTTP 403 en rutas de escritura de notas</t>
  </si>
  <si>
    <t xml:space="preserve">M09</t>
  </si>
  <si>
    <t xml:space="preserve">T-012</t>
  </si>
  <si>
    <t xml:space="preserve">Pantalla de inicio de sesión y menú por rol</t>
  </si>
  <si>
    <t xml:space="preserve">Frontend</t>
  </si>
  <si>
    <t xml:space="preserve">US-17 CA 1</t>
  </si>
  <si>
    <t xml:space="preserve">T-013</t>
  </si>
  <si>
    <t xml:space="preserve">E2E Cypress: inicio de sesión de cada rol</t>
  </si>
  <si>
    <t xml:space="preserve">Prueba</t>
  </si>
  <si>
    <t xml:space="preserve">M02</t>
  </si>
  <si>
    <t xml:space="preserve">T-014</t>
  </si>
  <si>
    <t xml:space="preserve">Modelo académico: gestión, trimestre, unidad educativa (código SIE, nivel, año, paralelo), curso, materia, estudiante, asignación profesor–materia; migraciones y seed</t>
  </si>
  <si>
    <t xml:space="preserve">US-18 CA 1–5</t>
  </si>
  <si>
    <t xml:space="preserve">T-015</t>
  </si>
  <si>
    <t xml:space="preserve">Configuración de dimensiones por gestión (suman 100; bloqueadas si hay notas) — TDD</t>
  </si>
  <si>
    <t xml:space="preserve">Backend (crítico)</t>
  </si>
  <si>
    <t xml:space="preserve">US-18 CA 6–7, RNF-01</t>
  </si>
  <si>
    <t xml:space="preserve">T-016</t>
  </si>
  <si>
    <t xml:space="preserve">API CRUD de la secretaria: cursos, materias, estudiantes y asignaciones</t>
  </si>
  <si>
    <t xml:space="preserve">US-18 CA 1–3</t>
  </si>
  <si>
    <t xml:space="preserve">T-017</t>
  </si>
  <si>
    <t xml:space="preserve">Pantallas de la secretaria para la gestión académica</t>
  </si>
  <si>
    <t xml:space="preserve">T-018</t>
  </si>
  <si>
    <t xml:space="preserve">TDD: validación de notas (1 a 100) y guardado de la planilla en una sola transacción</t>
  </si>
  <si>
    <t xml:space="preserve">US-01 CA 2–3, M01</t>
  </si>
  <si>
    <t xml:space="preserve">T-019</t>
  </si>
  <si>
    <t xml:space="preserve">Endpoint para registrar notas por actividad y dimensión</t>
  </si>
  <si>
    <t xml:space="preserve">US-01 CA 1</t>
  </si>
  <si>
    <t xml:space="preserve">T-020</t>
  </si>
  <si>
    <t xml:space="preserve">Planilla de registro de notas por dimensión</t>
  </si>
  <si>
    <t xml:space="preserve">T-021</t>
  </si>
  <si>
    <t xml:space="preserve">E2E Cypress: Registrar calificación</t>
  </si>
  <si>
    <t xml:space="preserve">T-022</t>
  </si>
  <si>
    <t xml:space="preserve">TDD: servicio de cálculo (puntos por dimensión, nota trimestral, redondeo, aprobación con 51) con aritmética decimal; casos de la tabla firmada</t>
  </si>
  <si>
    <t xml:space="preserve">US-02 CA 1–6, M01, M06</t>
  </si>
  <si>
    <t xml:space="preserve">T-023</t>
  </si>
  <si>
    <t xml:space="preserve">Umbral de cobertura ≥ 90 % para el módulo de cálculo en coverageThreshold de Jest</t>
  </si>
  <si>
    <t xml:space="preserve">M06</t>
  </si>
  <si>
    <t xml:space="preserve">T-024</t>
  </si>
  <si>
    <t xml:space="preserve">Mostrar la nota trimestral y el estado (aprueba / reprueba) en la planilla</t>
  </si>
  <si>
    <t xml:space="preserve">T-025</t>
  </si>
  <si>
    <t xml:space="preserve">Auditoría de cierre: Galvan audita los artefactos de desarrollo de Lujan</t>
  </si>
  <si>
    <t xml:space="preserve">Auditoría</t>
  </si>
  <si>
    <t xml:space="preserve">T-026</t>
  </si>
  <si>
    <t xml:space="preserve">Auditoría de cierre: Lujan audita las evidencias de prueba de Galvan</t>
  </si>
  <si>
    <t xml:space="preserve">T-027</t>
  </si>
  <si>
    <t xml:space="preserve">Revisión de diseño detallado de US-04 y US-05 (autor Lujan)</t>
  </si>
  <si>
    <t xml:space="preserve">T-028</t>
  </si>
  <si>
    <t xml:space="preserve">Staging con despliegue continuo: API y web en Render (render.yaml, ADR-0009); despliegue desde el Jenkinsfile en cada push a develop y smoke test del commit desplegado</t>
  </si>
  <si>
    <t xml:space="preserve">T-029</t>
  </si>
  <si>
    <t xml:space="preserve">Etapa E2E del Jenkinsfile contra staging; artefactos de evidencia</t>
  </si>
  <si>
    <t xml:space="preserve">T-030</t>
  </si>
  <si>
    <t xml:space="preserve">SonarQube Cloud con Quality Gate en cada PR y Dependabot (análisis estático exigido desde la semana 2)</t>
  </si>
  <si>
    <t xml:space="preserve">M05, M07, M08</t>
  </si>
  <si>
    <t xml:space="preserve">T-031</t>
  </si>
  <si>
    <t xml:space="preserve">TDD: corrección con motivo obligatorio, registro de auditoría de solo inserción y recálculo en la misma transacción</t>
  </si>
  <si>
    <t xml:space="preserve">US-04 CA 1–3, RNF-04</t>
  </si>
  <si>
    <t xml:space="preserve">T-032</t>
  </si>
  <si>
    <t xml:space="preserve">Pantalla para corregir una nota con motivo y ver su historial de cambios</t>
  </si>
  <si>
    <t xml:space="preserve">T-033</t>
  </si>
  <si>
    <t xml:space="preserve">E2E Cypress: corrección auditable</t>
  </si>
  <si>
    <t xml:space="preserve">T-034</t>
  </si>
  <si>
    <t xml:space="preserve">API de historial del estudiante con control de acceso (403)</t>
  </si>
  <si>
    <t xml:space="preserve">US-03 CA 1–2, M09</t>
  </si>
  <si>
    <t xml:space="preserve">T-035</t>
  </si>
  <si>
    <t xml:space="preserve">Pantalla de historial por trimestre</t>
  </si>
  <si>
    <t xml:space="preserve">T-036</t>
  </si>
  <si>
    <t xml:space="preserve">API de asistencia (sin fechas futuras) y cálculo del porcentaje</t>
  </si>
  <si>
    <t xml:space="preserve">US-19 CA 1–3</t>
  </si>
  <si>
    <t xml:space="preserve">T-037</t>
  </si>
  <si>
    <t xml:space="preserve">Pantalla de toma de asistencia por clase</t>
  </si>
  <si>
    <t xml:space="preserve">T-038</t>
  </si>
  <si>
    <t xml:space="preserve">Importación .xlsx con exceljs: vista previa, validación por fila, confirmación y auditoría con origen "importación"</t>
  </si>
  <si>
    <t xml:space="preserve">US-05 CA 1–3</t>
  </si>
  <si>
    <t xml:space="preserve">T-039</t>
  </si>
  <si>
    <t xml:space="preserve">Pantalla de carga y vista previa de la importación</t>
  </si>
  <si>
    <t xml:space="preserve">T-040</t>
  </si>
  <si>
    <t xml:space="preserve">API y pantalla de control de entrega de notas</t>
  </si>
  <si>
    <t xml:space="preserve">Full stack</t>
  </si>
  <si>
    <t xml:space="preserve">US-10 CA 1–2</t>
  </si>
  <si>
    <t xml:space="preserve">T-041</t>
  </si>
  <si>
    <t xml:space="preserve">T-042</t>
  </si>
  <si>
    <t xml:space="preserve">T-043</t>
  </si>
  <si>
    <t xml:space="preserve">API del panel de riesgo (promedio actual, % de asistencia, umbral configurable)</t>
  </si>
  <si>
    <t xml:space="preserve">US-06 CA 1–2</t>
  </si>
  <si>
    <t xml:space="preserve">T-044</t>
  </si>
  <si>
    <t xml:space="preserve">Pantalla del panel de riesgo con resaltado</t>
  </si>
  <si>
    <t xml:space="preserve">T-045</t>
  </si>
  <si>
    <t xml:space="preserve">Generación del boletín en PDF con encabezado oficial (SIE, nivel, año, paralelo)</t>
  </si>
  <si>
    <t xml:space="preserve">US-07 CA 1</t>
  </si>
  <si>
    <t xml:space="preserve">T-046</t>
  </si>
  <si>
    <t xml:space="preserve">Cola con BullMQ + Redis para cursos de más de 50 estudiantes, con aviso al terminar</t>
  </si>
  <si>
    <t xml:space="preserve">US-07 CA 3, R05</t>
  </si>
  <si>
    <t xml:space="preserve">T-047</t>
  </si>
  <si>
    <t xml:space="preserve">Pantalla para generar boletines y ver su estado</t>
  </si>
  <si>
    <t xml:space="preserve">T-048</t>
  </si>
  <si>
    <t xml:space="preserve">API de vinculación padre–estudiante y guard de pertenencia (403)</t>
  </si>
  <si>
    <t xml:space="preserve">US-20 CA 1–2</t>
  </si>
  <si>
    <t xml:space="preserve">T-049</t>
  </si>
  <si>
    <t xml:space="preserve">Pantalla de la secretaria para vincular padres</t>
  </si>
  <si>
    <t xml:space="preserve">T-050</t>
  </si>
  <si>
    <t xml:space="preserve">API para publicar y consultar boletines</t>
  </si>
  <si>
    <t xml:space="preserve">US-11 CA 1–2</t>
  </si>
  <si>
    <t xml:space="preserve">T-051</t>
  </si>
  <si>
    <t xml:space="preserve">Pantalla del padre para ver y descargar el boletín</t>
  </si>
  <si>
    <t xml:space="preserve">T-052</t>
  </si>
  <si>
    <t xml:space="preserve">Planes de JMeter (registrar notas y boletín) y job de rendimiento con umbrales p95 y tasa de error</t>
  </si>
  <si>
    <t xml:space="preserve">M03, M04</t>
  </si>
  <si>
    <t xml:space="preserve">T-053</t>
  </si>
  <si>
    <t xml:space="preserve">RC1: suite E2E completa en verde</t>
  </si>
  <si>
    <t xml:space="preserve">T-054</t>
  </si>
  <si>
    <t xml:space="preserve">Prueba de usabilidad con 5 profesores nuevos y cuestionario SUS</t>
  </si>
  <si>
    <t xml:space="preserve">Usabilidad</t>
  </si>
  <si>
    <t xml:space="preserve">T-055</t>
  </si>
  <si>
    <t xml:space="preserve">T-056</t>
  </si>
  <si>
    <t xml:space="preserve">T-057</t>
  </si>
  <si>
    <t xml:space="preserve">API de centralización: valida materias pendientes y cierra el trimestre</t>
  </si>
  <si>
    <t xml:space="preserve">US-09 CA 1–2</t>
  </si>
  <si>
    <t xml:space="preserve">T-058</t>
  </si>
  <si>
    <t xml:space="preserve">Exportación del centralizador a PDF y Excel con el formato de la planilla oficial</t>
  </si>
  <si>
    <t xml:space="preserve">US-09 CA 3</t>
  </si>
  <si>
    <t xml:space="preserve">T-059</t>
  </si>
  <si>
    <t xml:space="preserve">Pantalla de centralización</t>
  </si>
  <si>
    <t xml:space="preserve">T-060</t>
  </si>
  <si>
    <t xml:space="preserve">Servicio de alertas al recalcular (sin repetir la misma alerta)</t>
  </si>
  <si>
    <t xml:space="preserve">US-08 CA 1–2</t>
  </si>
  <si>
    <t xml:space="preserve">T-061</t>
  </si>
  <si>
    <t xml:space="preserve">Notificaciones en el sistema y por correo mediante un proveedor con API HTTP</t>
  </si>
  <si>
    <t xml:space="preserve">US-08 CA 1</t>
  </si>
  <si>
    <t xml:space="preserve">T-062</t>
  </si>
  <si>
    <t xml:space="preserve">Aviso por correo al publicar un boletín (reutiliza las notificaciones)</t>
  </si>
  <si>
    <t xml:space="preserve">US-12 CA 1</t>
  </si>
  <si>
    <t xml:space="preserve">T-063</t>
  </si>
  <si>
    <t xml:space="preserve">RC2: todas las métricas del SQAP en verde, con evidencias archivadas</t>
  </si>
  <si>
    <t xml:space="preserve">M01–M09</t>
  </si>
  <si>
    <t xml:space="preserve">T-064</t>
  </si>
  <si>
    <t xml:space="preserve">Pruebas de aceptación con el cliente; acta firmada</t>
  </si>
  <si>
    <t xml:space="preserve">Aceptación</t>
  </si>
  <si>
    <t xml:space="preserve">SQAP Sec. 7</t>
  </si>
  <si>
    <t xml:space="preserve">T-065</t>
  </si>
  <si>
    <t xml:space="preserve">Manual de usuario (walkthrough con un profesor piloto)</t>
  </si>
  <si>
    <t xml:space="preserve">Documentación</t>
  </si>
  <si>
    <t xml:space="preserve">T-066</t>
  </si>
  <si>
    <t xml:space="preserve">Manual técnico (instalación, despliegue, arquitectura)</t>
  </si>
  <si>
    <t xml:space="preserve">T-067</t>
  </si>
  <si>
    <t xml:space="preserve">Auditoría final del SQAP contra los 7 indicadores</t>
  </si>
  <si>
    <t xml:space="preserve">T-068</t>
  </si>
  <si>
    <t xml:space="preserve">Auditoría final de las evidencias de prueba</t>
  </si>
  <si>
    <t xml:space="preserve">T-069</t>
  </si>
  <si>
    <t xml:space="preserve">Release v1.0: PR develop → main, etiqueta v1.0.0, CHANGELOG y despliegue a producción</t>
  </si>
  <si>
    <t xml:space="preserve">SQAP Sec. 10</t>
  </si>
  <si>
    <t xml:space="preserve">Definition of Ready y Definition of Done</t>
  </si>
  <si>
    <t xml:space="preserve">Definition of Ready: una historia entra al sprint solo si…</t>
  </si>
  <si>
    <t xml:space="preserve">Cómo se comprueba</t>
  </si>
  <si>
    <t xml:space="preserve">Tiene enunciado Como / Quiero / Para, alias y puntos de historia.</t>
  </si>
  <si>
    <t xml:space="preserve">Hoja Historias de Usuario</t>
  </si>
  <si>
    <t xml:space="preserve">Tiene criterios de aceptación en formato Dado / Cuando / Entonces.</t>
  </si>
  <si>
    <t xml:space="preserve">Hoja Criterios de aceptación</t>
  </si>
  <si>
    <t xml:space="preserve">No le queda ningún ❓ sin resolver.</t>
  </si>
  <si>
    <t xml:space="preserve">Respuesta del cliente anotada en la hoja</t>
  </si>
  <si>
    <t xml:space="preserve">Sus dependencias están en un sprint anterior o primero en el mismo sprint.</t>
  </si>
  <si>
    <t xml:space="preserve">Columna Comentarios</t>
  </si>
  <si>
    <t xml:space="preserve">Está dividida en tareas con responsable, revisor y horas.</t>
  </si>
  <si>
    <t xml:space="preserve">Hoja Tareas (Sprint Backlog)</t>
  </si>
  <si>
    <t xml:space="preserve">Si es un módulo crítico, su diseño detallado fue revisado.</t>
  </si>
  <si>
    <t xml:space="preserve">Acta en docs/actas/</t>
  </si>
  <si>
    <t xml:space="preserve">Definition of Done: una historia está Hecha solo si…</t>
  </si>
  <si>
    <t xml:space="preserve">Todos sus criterios de aceptación tienen una prueba automatizada que pasa.</t>
  </si>
  <si>
    <t xml:space="preserve">Test Result del build de Jenkins</t>
  </si>
  <si>
    <t xml:space="preserve">El pipeline está sano: lint, pruebas, cobertura, Quality Gate y auditoría de dependencias en verde.</t>
  </si>
  <si>
    <t xml:space="preserve">Build de Jenkins del commit en develop (ADR-0008)</t>
  </si>
  <si>
    <t xml:space="preserve">Cobertura ≥ 80 % en código nuevo y ≥ 90 % en el módulo de cálculo, exigida por la herramienta.</t>
  </si>
  <si>
    <t xml:space="preserve">coverageThreshold de Jest y Quality Gate</t>
  </si>
  <si>
    <t xml:space="preserve">El otro integrante revisó sus commits en develop; nadie aprueba su propio código.</t>
  </si>
  <si>
    <t xml:space="preserve">Comentarios de revisión en los commits de GitHub</t>
  </si>
  <si>
    <t xml:space="preserve">Está desplegada en staging y el smoke test pasa con el commit correcto.</t>
  </si>
  <si>
    <t xml:space="preserve">Job de smoke test</t>
  </si>
  <si>
    <t xml:space="preserve">El dueño del producto la revisó en la demo del sprint.</t>
  </si>
  <si>
    <t xml:space="preserve">Acta de la revisión del sprint</t>
  </si>
  <si>
    <t xml:space="preserve">La documentación que cambió (SRS, SAD, manual) se actualizó en el mismo PR.</t>
  </si>
  <si>
    <t xml:space="preserve">Diff del PR</t>
  </si>
  <si>
    <t xml:space="preserve">Criterios de aceptación (formato Dado / Cuando / Entonces)</t>
  </si>
  <si>
    <t xml:space="preserve">Cada criterio es una prueba: Jest (unitaria o e2e con Supertest) o Cypress (E2E). ❓ = regla que el cliente debe confirmar antes de iniciar la historia.</t>
  </si>
  <si>
    <t xml:space="preserve">N.º</t>
  </si>
  <si>
    <t xml:space="preserve">Criterio de aceptación</t>
  </si>
  <si>
    <t xml:space="preserve">Prueba que lo verifica</t>
  </si>
  <si>
    <t xml:space="preserve">Vínculo SQAP</t>
  </si>
  <si>
    <t xml:space="preserve">Dado un usuario con credenciales válidas, cuando inicia sesión, entonces entra a la pantalla de inicio de su rol y solo ve las opciones de ese rol.</t>
  </si>
  <si>
    <t xml:space="preserve">Cypress</t>
  </si>
  <si>
    <t xml:space="preserve">RNF-04</t>
  </si>
  <si>
    <t xml:space="preserve">Dado un usuario sin rol Profesor, cuando envía una petición a cualquier ruta de escritura de notas, entonces recibe HTTP 403 y no se modifica ningún dato.</t>
  </si>
  <si>
    <t xml:space="preserve">Jest + Supertest (e2e)</t>
  </si>
  <si>
    <t xml:space="preserve">Dado 5 intentos fallidos seguidos con la misma cuenta, cuando intenta un sexto, entonces el sistema bloquea el inicio de sesión durante 15 minutos.</t>
  </si>
  <si>
    <t xml:space="preserve">Dado un usuario autenticado sin actividad, cuando pasan 30 minutos, entonces la sesión expira y debe iniciar sesión otra vez.</t>
  </si>
  <si>
    <t xml:space="preserve">Dado el rol Secretaria, cuando registra un curso con paralelo y gestión, entonces el curso queda disponible para asignarle materias y estudiantes.</t>
  </si>
  <si>
    <t xml:space="preserve">Dado un profesor asignado a dos materias, cuando inicia sesión, entonces ve solo esas dos materias.</t>
  </si>
  <si>
    <t xml:space="preserve">Dado un estudiante inscrito en un curso de la gestión, cuando se lo intenta inscribir en otro curso de la misma gestión, entonces el sistema lo rechaza con un mensaje.</t>
  </si>
  <si>
    <t xml:space="preserve">Jest (unitaria)</t>
  </si>
  <si>
    <t xml:space="preserve">Dado un trimestre marcado como cerrado, cuando un profesor intenta registrar o corregir una nota en él, entonces el sistema lo impide.</t>
  </si>
  <si>
    <t xml:space="preserve">Dado el registro de la unidad educativa, cuando se guarda, entonces incluye nombre, código SIE, nivel (Inicial, Primaria o Secundaria), año de escolaridad y paralelo, que luego aparecen en boletines y centralizadores.</t>
  </si>
  <si>
    <t xml:space="preserve">Dado el rol Administrador, cuando configura la gestión, entonces registra las dimensiones de evaluación y su puntaje máximo según la resolución vigente (2026: Ser 10, Saber 45, Hacer 40, Autoevaluación 5) y el sistema exige que sumen 100.</t>
  </si>
  <si>
    <t xml:space="preserve">RNF-01</t>
  </si>
  <si>
    <t xml:space="preserve">Dado un trimestre de la gestión que ya tiene notas registradas, cuando alguien intenta cambiar los puntajes de las dimensiones, entonces el sistema lo impide.</t>
  </si>
  <si>
    <t xml:space="preserve">Dado un profesor en una materia asignada y un trimestre abierto, cuando registra la nota de una actividad dentro de una dimensión (Ser, Saber, Hacer o Autoevaluación) en la escala de 1 a 100, entonces la nota se guarda y aparece en la planilla.</t>
  </si>
  <si>
    <t xml:space="preserve">Dado un valor fuera de 1 a 100 (no se admite 0; una actividad no presentada se registra con 1, decisión D1), vacío o no numérico, cuando intenta guardar, entonces aparece un mensaje junto al campo y no se guarda nada.</t>
  </si>
  <si>
    <t xml:space="preserve">M01</t>
  </si>
  <si>
    <t xml:space="preserve">Dado una planilla con las notas de todos los estudiantes de la materia (hasta 60), cuando guarda, entonces se guardan todas o ninguna (una sola transacción).</t>
  </si>
  <si>
    <t xml:space="preserve">RNF-02</t>
  </si>
  <si>
    <t xml:space="preserve">Dado 100 profesores registrando notas al mismo tiempo durante 10 minutos, cuando se mide en staging, entonces la tasa de error es menor que 1 %.</t>
  </si>
  <si>
    <t xml:space="preserve">JMeter</t>
  </si>
  <si>
    <t xml:space="preserve">M04</t>
  </si>
  <si>
    <t xml:space="preserve">Dado las notas de las actividades de una dimensión, cuando se calcula, entonces el puntaje de la dimensión es el promedio de esas notas × (puntaje máximo de la dimensión / 100). Ej.: Saber con promedio 80 → 80 × 45/100 = 36 puntos.</t>
  </si>
  <si>
    <t xml:space="preserve">Jest (unitaria, TDD)</t>
  </si>
  <si>
    <t xml:space="preserve">M01, M06</t>
  </si>
  <si>
    <t xml:space="preserve">Dado los puntajes de Ser, Saber, Hacer y Autoevaluación, cuando se calcula la nota del trimestre, entonces es la suma de los cuatro, redondeada al entero más cercano (0,5 hacia arriba), en la escala de 1 a 100.</t>
  </si>
  <si>
    <t xml:space="preserve">M01, RNF-01</t>
  </si>
  <si>
    <t xml:space="preserve">Dado una nota trimestral de 50,5 antes de redondear, cuando se redondea, entonces es 51 y el estudiante figura como aprobado; con 50,4 es 50 y figura como reprobado (nota mínima de aprobación: 51).</t>
  </si>
  <si>
    <t xml:space="preserve">RNF-01, R02</t>
  </si>
  <si>
    <t xml:space="preserve">Dado las notas de los tres trimestres, cuando se calcula la nota anual de la materia, entonces es el promedio de los tres trimestres redondeado al entero, 0,5 hacia arriba (decisiones D2 y D3).</t>
  </si>
  <si>
    <t xml:space="preserve">Dado la tabla de casos de prueba firmada por el cliente (semilla en la hoja Reglas MinEdu), cuando corre la suite, entonces el 100 % de los casos da el resultado esperado.</t>
  </si>
  <si>
    <t xml:space="preserve">M01, R02</t>
  </si>
  <si>
    <t xml:space="preserve">Dado una dimensión que todavía no tiene actividades con nota, cuando se calcula la nota parcial del trimestre, entonces la nota trimestral se muestra como "pendiente" e indica qué dimensiones faltan (decisión D4).</t>
  </si>
  <si>
    <t xml:space="preserve">Dado una nota registrada, cuando el profesor la corrige, entonces el sistema exige un motivo y guarda quién la cambió, la fecha y hora, el valor anterior y el nuevo.</t>
  </si>
  <si>
    <t xml:space="preserve">Dado el registro de auditoría, cuando cualquier usuario intenta editarlo o borrarlo, entonces el sistema no lo permite (solo lectura).</t>
  </si>
  <si>
    <t xml:space="preserve">Dado una corrección guardada, cuando termina, entonces el promedio afectado se recalcula en la misma transacción.</t>
  </si>
  <si>
    <t xml:space="preserve">Dado un estudiante con notas en varios trimestres, cuando el profesor abre su historial, entonces ve las notas y promedios de cada trimestre en orden cronológico.</t>
  </si>
  <si>
    <t xml:space="preserve">Dado un estudiante que no cursa ninguna materia del profesor, cuando el profesor intenta abrir su historial, entonces recibe HTTP 403.</t>
  </si>
  <si>
    <t xml:space="preserve">Dado una clase de su materia, cuando el profesor marca a cada estudiante como presente, ausente o con licencia, entonces se guarda la asistencia de esa fecha.</t>
  </si>
  <si>
    <t xml:space="preserve">Dado las asistencias registradas, cuando se calcula el porcentaje, entonces es (presentes + licencias) / clases dictadas × 100, redondeado a un decimal (decisión D5).</t>
  </si>
  <si>
    <t xml:space="preserve">Dado una fecha futura, cuando el profesor intenta registrar asistencia, entonces el sistema lo impide.</t>
  </si>
  <si>
    <t xml:space="preserve">Dado un archivo .xlsx con la plantilla del sistema, cuando el profesor lo sube, entonces ve una vista previa con las filas válidas y las filas con error antes de confirmar.</t>
  </si>
  <si>
    <t xml:space="preserve">Dado una fila con un estudiante que no existe o una nota fuera de 0 a 100, cuando se importa, entonces esa fila se rechaza con su motivo y no se guarda.</t>
  </si>
  <si>
    <t xml:space="preserve">Dado una importación confirmada, cuando termina, entonces cada nota importada queda en la auditoría con origen "importación".</t>
  </si>
  <si>
    <t xml:space="preserve">Dado un trimestre en curso, cuando la secretaria abre el control, entonces ve por curso cada materia con su profesor y su estado Entregado o Pendiente.</t>
  </si>
  <si>
    <t xml:space="preserve">Dado una materia, cuando el profesor la marca como entregada, entonces solo se acepta si todos los estudiantes tienen nota en todas las actividades.</t>
  </si>
  <si>
    <t xml:space="preserve">Dado un curso del profesor, cuando abre el panel, entonces ve a cada estudiante con su promedio actual y su porcentaje de asistencia.</t>
  </si>
  <si>
    <t xml:space="preserve">Dado un estudiante con promedio menor que 51 o asistencia menor que 80 % (umbral configurable por gestión, decisión D6), cuando se muestra el panel, entonces aparece marcado como "en riesgo".</t>
  </si>
  <si>
    <t xml:space="preserve">Dado un estudiante, cuando el profesor genera su boletín, entonces el PDF muestra la unidad educativa, el código SIE, el nivel, el año de escolaridad y el paralelo, y por cada materia la nota de cada trimestre, la nota anual y el porcentaje de asistencia, iguales a los que muestra el sistema.</t>
  </si>
  <si>
    <t xml:space="preserve">Jest + Supertest (e2e) + Cypress</t>
  </si>
  <si>
    <t xml:space="preserve">Dado 100 usuarios concurrentes durante 10 minutos en staging, cuando se genera el boletín de un estudiante, entonces el p95 es ≤ 2000 ms y la tasa de error &lt; 1 %.</t>
  </si>
  <si>
    <t xml:space="preserve">M03, RNF-03</t>
  </si>
  <si>
    <t xml:space="preserve">Dado un curso de más de 50 estudiantes, cuando se generan todos los boletines, entonces se procesan en una cola y el profesor recibe un aviso al terminar.</t>
  </si>
  <si>
    <t xml:space="preserve">R05, CAL-001</t>
  </si>
  <si>
    <t xml:space="preserve">Dado la secretaria, cuando vincula una cuenta de padre con uno o más estudiantes, entonces el padre ve solo a esos estudiantes.</t>
  </si>
  <si>
    <t xml:space="preserve">Dado un padre, cuando intenta ver los datos de un estudiante no vinculado (por ejemplo, cambiando el ID en la URL), entonces recibe HTTP 403.</t>
  </si>
  <si>
    <t xml:space="preserve">Dado un boletín publicado, cuando el padre lo consulta, entonces puede verlo y descargarlo en PDF.</t>
  </si>
  <si>
    <t xml:space="preserve">Dado un boletín que el profesor aún no publicó, cuando el padre entra, entonces no lo ve.</t>
  </si>
  <si>
    <t xml:space="preserve">Dado el cierre del trimestre con todas las materias entregadas, cuando la secretaria ejecuta la centralización, entonces obtiene la planilla consolidada de cada curso con todas sus materias.</t>
  </si>
  <si>
    <t xml:space="preserve">Dado la planilla consolidada, cuando se exporta a PDF o Excel, entonces sigue el formato de la planilla oficial: encabezado (unidad educativa, código SIE, nivel, año de escolaridad, paralelo, gestión), una fila por estudiante (N.º, apellidos y nombres, nota de cada trimestre, observaciones) y espacio para la firma del director(a) y del maestro(a).</t>
  </si>
  <si>
    <t xml:space="preserve">Dado una o más materias pendientes, cuando la secretaria intenta centralizar, entonces el sistema lista las pendientes y no cierra el trimestre.</t>
  </si>
  <si>
    <t xml:space="preserve">Dado un estudiante con promedio ≥ 51, cuando una nueva nota lo deja por debajo de 51, entonces el profesor recibe un aviso en el sistema y un correo en 5 minutos o menos.</t>
  </si>
  <si>
    <t xml:space="preserve">Dado una alerta ya enviada, cuando el promedio sigue por debajo de 51, entonces no se repite hasta que el estudiante vuelva a superar el mínimo.</t>
  </si>
  <si>
    <t xml:space="preserve">Dado un boletín recién publicado, cuando termina la publicación, entonces cada padre vinculado recibe un correo en 15 minutos o menos.</t>
  </si>
  <si>
    <t xml:space="preserve">Fuera de v1.0: los criterios se escriben al planificar la Release 2.</t>
  </si>
  <si>
    <t xml:space="preserve">Sistema de evaluación del Ministerio de Educación (Subsistema de Educación Regular)</t>
  </si>
  <si>
    <t xml:space="preserve">Reglas que el cálculo de US-02 debe implementar. Las celdas amarillas son parámetros por gestión: se configuran en el sistema (US-18), no se programan fijos.</t>
  </si>
  <si>
    <t xml:space="preserve">Regla</t>
  </si>
  <si>
    <t xml:space="preserve">Valor 2026</t>
  </si>
  <si>
    <t xml:space="preserve">Fuente</t>
  </si>
  <si>
    <t xml:space="preserve">Periodos de evaluación</t>
  </si>
  <si>
    <t xml:space="preserve">3 trimestres</t>
  </si>
  <si>
    <t xml:space="preserve">Reglamento de evaluación RM 0190/2024 (evaluación al cierre del 1.er, 2.º y 3.er trimestre)</t>
  </si>
  <si>
    <t xml:space="preserve">Confirmado</t>
  </si>
  <si>
    <t xml:space="preserve">Escala de calificación</t>
  </si>
  <si>
    <t xml:space="preserve">1 a 100 (sin 0)</t>
  </si>
  <si>
    <t xml:space="preserve">Ministerio de Educación, vigente desde 2013</t>
  </si>
  <si>
    <t xml:space="preserve">Decidido (D1)</t>
  </si>
  <si>
    <t xml:space="preserve">Nota mínima de aprobación</t>
  </si>
  <si>
    <t xml:space="preserve">Dimensión Ser (puntaje máximo)</t>
  </si>
  <si>
    <t xml:space="preserve">RM 001/2026 (5 de enero de 2026). Absorbe a la antigua dimensión Decidir.</t>
  </si>
  <si>
    <t xml:space="preserve">Dimensión Saber (puntaje máximo)</t>
  </si>
  <si>
    <t xml:space="preserve">RM 001/2026</t>
  </si>
  <si>
    <t xml:space="preserve">Dimensión Hacer (puntaje máximo)</t>
  </si>
  <si>
    <t xml:space="preserve">Autoevaluación (puntaje máximo)</t>
  </si>
  <si>
    <t xml:space="preserve">Nota anual de la materia</t>
  </si>
  <si>
    <t xml:space="preserve">Promedio de los 3 trimestres</t>
  </si>
  <si>
    <t xml:space="preserve">Práctica habitual; no se encontró el texto oficial</t>
  </si>
  <si>
    <t xml:space="preserve">Decidido (D3)</t>
  </si>
  <si>
    <t xml:space="preserve">Suma de dimensiones (debe ser 100)</t>
  </si>
  <si>
    <t xml:space="preserve">Confirmado</t>
  </si>
  <si>
    <t xml:space="preserve">Casos de ejemplo del cálculo (semilla de la tabla que firma el cliente, riesgo R02)</t>
  </si>
  <si>
    <t xml:space="preserve">Caso</t>
  </si>
  <si>
    <t xml:space="preserve">Prom. Ser (1-100)</t>
  </si>
  <si>
    <t xml:space="preserve">Prom. Saber (1-100)</t>
  </si>
  <si>
    <t xml:space="preserve">Prom. Hacer (1-100)</t>
  </si>
  <si>
    <t xml:space="preserve">Prom. Autoev. (1-100)</t>
  </si>
  <si>
    <t xml:space="preserve">Puntos Ser</t>
  </si>
  <si>
    <t xml:space="preserve">Puntos Saber</t>
  </si>
  <si>
    <t xml:space="preserve">Puntos Hacer</t>
  </si>
  <si>
    <t xml:space="preserve">Puntos Autoev.</t>
  </si>
  <si>
    <t xml:space="preserve">Nota sin redondear</t>
  </si>
  <si>
    <t xml:space="preserve">Nota trimestral</t>
  </si>
  <si>
    <t xml:space="preserve">Resultado</t>
  </si>
  <si>
    <t xml:space="preserve">Caso típico</t>
  </si>
  <si>
    <t xml:space="preserve">Frontera: 50,5 se redondea a 51 (aprueba)</t>
  </si>
  <si>
    <t xml:space="preserve">Frontera: 50,4 se redondea a 50 (reprueba)</t>
  </si>
  <si>
    <t xml:space="preserve">Todo al máximo</t>
  </si>
  <si>
    <t xml:space="preserve">Todo al mínimo de la escala</t>
  </si>
  <si>
    <t xml:space="preserve">Fuentes: RM 001/2026 (minedu.gob.bo, 5 de enero de 2026; Red Uno y Urgente.bo, enero 2026); reglamento RM 0190/2024 (El Diario, 29 de marzo de 2024); escala 1 a 100 y aprobación con 51 (eju.tv, noviembre de 2012). Verificar contra el texto oficial antes de firmar la tabla.</t>
  </si>
  <si>
    <t xml:space="preserve">Hallazgos de la revisión del backlog</t>
  </si>
  <si>
    <t xml:space="preserve">Hallazgo</t>
  </si>
  <si>
    <t xml:space="preserve">Dónde</t>
  </si>
  <si>
    <t xml:space="preserve">Por qué importa</t>
  </si>
  <si>
    <t xml:space="preserve">Qué se hizo en esta versión</t>
  </si>
  <si>
    <t xml:space="preserve">No hay historia de inicio de sesión ni de roles.</t>
  </si>
  <si>
    <t xml:space="preserve">Todo el backlog</t>
  </si>
  <si>
    <t xml:space="preserve">RNF-04 y la métrica M09 dependen de que existan roles; sin esto no hay forma de que "solo el docente modifique sus notas".</t>
  </si>
  <si>
    <t xml:space="preserve">Se propone US-17 (Sprint 1).</t>
  </si>
  <si>
    <t xml:space="preserve">No hay historia para registrar cursos, materias, estudiantes, trimestres ni la asignación profesor–materia.</t>
  </si>
  <si>
    <t xml:space="preserve">US-01 no se puede construir sin esos datos base.</t>
  </si>
  <si>
    <t xml:space="preserve">Se propone US-18 (Sprint 1).</t>
  </si>
  <si>
    <t xml:space="preserve">Ninguna historia registra la asistencia.</t>
  </si>
  <si>
    <t xml:space="preserve">US-06, US-07</t>
  </si>
  <si>
    <t xml:space="preserve">Ambas muestran el porcentaje de asistencia, que nadie registra.</t>
  </si>
  <si>
    <t xml:space="preserve">Se propone US-19 (Sprint 2).</t>
  </si>
  <si>
    <t xml:space="preserve">Nada define qué padre ve a qué estudiante.</t>
  </si>
  <si>
    <t xml:space="preserve">US-11, US-12, US-13</t>
  </si>
  <si>
    <t xml:space="preserve">Son datos de menores de edad: un padre podría ver la información de otro estudiante.</t>
  </si>
  <si>
    <t xml:space="preserve">Se propone US-20 (Sprint 3).</t>
  </si>
  <si>
    <t xml:space="preserve">Las historias no tienen criterios de aceptación.</t>
  </si>
  <si>
    <t xml:space="preserve">Todas</t>
  </si>
  <si>
    <t xml:space="preserve">El SQAP (Sección 7) los exige como criterio de entrada; sin ellos no hay pruebas que escribir ni forma de decir "Hecho".</t>
  </si>
  <si>
    <t xml:space="preserve">Nueva hoja Criterios de aceptación.</t>
  </si>
  <si>
    <t xml:space="preserve">El backlog estaba ordenado por ROI ascendente.</t>
  </si>
  <si>
    <t xml:space="preserve">Un product backlog se ordena por prioridad: lo más importante arriba.</t>
  </si>
  <si>
    <t xml:space="preserve">Ordenado por sprint y luego por prioridad.</t>
  </si>
  <si>
    <t xml:space="preserve">El plan tenía 8 sprints; el equipo trabaja en 4.</t>
  </si>
  <si>
    <t xml:space="preserve">Columna Iteración</t>
  </si>
  <si>
    <t xml:space="preserve">Con 2 personas, el backlog completo (incluidas las historias nuevas) no cabe en 4 sprints.</t>
  </si>
  <si>
    <t xml:space="preserve">Re-planificado en 4 sprints; el módulo de pagos se propone para una versión posterior (ver hoja Plan de sprints).</t>
  </si>
  <si>
    <t xml:space="preserve">El módulo de pagos eleva el nivel de integridad.</t>
  </si>
  <si>
    <t xml:space="preserve">US-13 a US-16</t>
  </si>
  <si>
    <t xml:space="preserve">Según IEEE 1012 y la guía de la Práctica 7, pagos y datos personales sensibles son nivel 3; exigiría un SQAP más estricto.</t>
  </si>
  <si>
    <t xml:space="preserve">Fuera de v1.0, a negociar con el docente.</t>
  </si>
  <si>
    <t xml:space="preserve">Reglas de negocio sin definir.</t>
  </si>
  <si>
    <t xml:space="preserve">US-02, US-06, US-19</t>
  </si>
  <si>
    <t xml:space="preserve">Redondeo, actividades sin notas, licencias en la asistencia y umbral de riesgo no están escritos; es el riesgo R02 del SQAP.</t>
  </si>
  <si>
    <t xml:space="preserve">Marcadas con ❓ en los criterios; validar con el cliente en la semana 1.</t>
  </si>
  <si>
    <t xml:space="preserve">Canal de notificación sin definir.</t>
  </si>
  <si>
    <t xml:space="preserve">US-08, US-12, US-15</t>
  </si>
  <si>
    <t xml:space="preserve">No se puede estimar ni probar una alerta sin saber si es correo, aviso en el sistema o WhatsApp.</t>
  </si>
  <si>
    <t xml:space="preserve">Propuesta: correo + aviso en el sistema.</t>
  </si>
  <si>
    <t xml:space="preserve">Escala de Puntos Valor mixta (10 no es de Fibonacci).</t>
  </si>
  <si>
    <t xml:space="preserve">US-03, US-06</t>
  </si>
  <si>
    <t xml:space="preserve">Mezclar escalas hace que el ROI compare cosas distintas.</t>
  </si>
  <si>
    <t xml:space="preserve">Se dejó igual (backlog aprobado); se sugiere usar 1, 2, 3, 5, 8, 13.</t>
  </si>
  <si>
    <t xml:space="preserve">Valores marcados "(Valores estimados)".</t>
  </si>
  <si>
    <t xml:space="preserve">Varias historias</t>
  </si>
  <si>
    <t xml:space="preserve">No están validados con el dueño del producto; el ROI y la prioridad pueden cambiar.</t>
  </si>
  <si>
    <t xml:space="preserve">Se mantiene la nota; validar en la revisión del backlog del Sprint 1.</t>
  </si>
  <si>
    <t xml:space="preserve">Terminología mezclada: profesor/docente, nota/calificación, trimestre/periodo/gestión, boletín/historial.</t>
  </si>
  <si>
    <t xml:space="preserve">Backlog y SQAP</t>
  </si>
  <si>
    <t xml:space="preserve">El SQAP, el código y las pruebas deben usar los mismos términos.</t>
  </si>
  <si>
    <t xml:space="preserve">Se unificará en el glosario del SQAP (Sección 15).</t>
  </si>
  <si>
    <t xml:space="preserve">El SQAP dice roles Docente y Administrador; el backlog usa Profesor, Secretaria y Padre de familia.</t>
  </si>
  <si>
    <t xml:space="preserve">SQAP Sección 1</t>
  </si>
  <si>
    <t xml:space="preserve">El plan no es trazable al backlog aprobado.</t>
  </si>
  <si>
    <t xml:space="preserve">Se actualizará el SQAP a partir de este backlog.</t>
  </si>
  <si>
    <t xml:space="preserve">US-02 dice "según la ponderación que yo defina", pero en Bolivia la fija el Ministerio por dimensión.</t>
  </si>
  <si>
    <t xml:space="preserve">US-02 y SQAP (RNF-01)</t>
  </si>
  <si>
    <t xml:space="preserve">RM 001/2026: Ser 10, Saber 45, Hacer 40, Autoevaluación 5. Un sistema que deja al profesor cambiar esos pesos produce notas que no valen oficialmente.</t>
  </si>
  <si>
    <t xml:space="preserve">Criterios de US-02 y US-18 reescritos; los puntajes se configuran por gestión porque cambian (en 2024 había Decidir 5).</t>
  </si>
  <si>
    <t xml:space="preserve">La planilla modelo (2019) es bimestral; desde 2020 la evaluación es trimestral.</t>
  </si>
  <si>
    <t xml:space="preserve">Modelo-Registro-Calificaciones</t>
  </si>
  <si>
    <t xml:space="preserve">Si se copia tal cual, el sistema tendría 3 bimestres en vez de 3 trimestres.</t>
  </si>
  <si>
    <t xml:space="preserve">Se toma su estructura (encabezado, filas, firmas) pero con trimestres.</t>
  </si>
  <si>
    <t xml:space="preserve">La planilla oficial exige datos que el backlog no guardaba: código SIE, nivel, año de escolaridad, paralelo y firma del director(a).</t>
  </si>
  <si>
    <t xml:space="preserve">US-07, US-09, US-18</t>
  </si>
  <si>
    <t xml:space="preserve">Sin esos datos el boletín y el centralizador no se pueden entregar.</t>
  </si>
  <si>
    <t xml:space="preserve">Agregados a los criterios de US-18, US-07 y US-09.</t>
  </si>
  <si>
    <t xml:space="preserve">El plazo es de 4 semanas: cada sprint dura 1 semana.</t>
  </si>
  <si>
    <t xml:space="preserve">Plan de sprints</t>
  </si>
  <si>
    <t xml:space="preserve">20 puntos por semana con 2 personas es exigente; si la velocidad real es menor, no se termina el Sprint 4.</t>
  </si>
  <si>
    <t xml:space="preserve">Duración = 1 semana; regla de recorte: primero US-08 y US-12 (prioridad BAJA).</t>
  </si>
  <si>
    <t xml:space="preserve">Pila de Producto (Product Backlog): Instructivo</t>
  </si>
  <si>
    <t xml:space="preserve">Columna</t>
  </si>
  <si>
    <t xml:space="preserve">Instrucciones</t>
  </si>
  <si>
    <t xml:space="preserve">Código que identifica a la historia de forma unívoca, una vez asignado, no debe ser re-usado en otra historia, ni siquiera si la historia es descartada. El código identifica la historia en otros documentos, como por ejemplo la plantilla de historias de usuario.</t>
  </si>
  <si>
    <t xml:space="preserve">Nombre de la historia, el cual debe ser el mismo que se utiliza en otros documentos. Se puede utilizar el formato siguiente:
Como [Rol], Quiero [Descripción de la Funcionalidad], para [Razón o Resultado]
</t>
  </si>
  <si>
    <t xml:space="preserve">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</si>
  <si>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</si>
  <si>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 xml:space="preserve">Medida del Valor para el dueño del producto</t>
  </si>
  <si>
    <t xml:space="preserve">Puntos Historia (Esfuerzo)</t>
  </si>
  <si>
    <t xml:space="preserve">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</si>
  <si>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Retorno de la inversion PuntosValor /Puntos Historia , sirve para priorizar el desarrollo</t>
  </si>
  <si>
    <t xml:space="preserve">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</si>
  <si>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 xml:space="preserve">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</si>
  <si>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 xml:space="preserve">Comentarios o detalles relacionadas que expliquen la historia. Para definiciones de mayor longitud deben usarse documentos externos, por ejemplo la plantilla de historias de usuario.</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</si>
</sst>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0"/>
      <charset val="1"/>
    </font>
    <font>
      <sz val="10"/>
      <name val="Arial"/>
      <family val="0"/>
    </font>
    <font>
      <sz val="10"/>
      <name val="Arial"/>
      <family val="0"/>
    </font>
    <font>
      <sz val="10"/>
      <name val="Arial"/>
      <family val="0"/>
    </font>
    <font>
      <b val="true"/>
      <sz val="28"/>
      <color theme="1"/>
      <name val="Calibri"/>
      <family val="0"/>
      <charset val="1"/>
    </font>
    <font>
      <b val="true"/>
      <sz val="16"/>
      <color rgb="FF1F497D"/>
      <name val="Calibri"/>
      <family val="0"/>
      <charset val="1"/>
    </font>
    <font>
      <sz val="11"/>
      <color theme="0"/>
      <name val="Calibri"/>
      <family val="0"/>
      <charset val="1"/>
    </font>
    <font>
      <b val="true"/>
      <sz val="11"/>
      <name val="Calibri"/>
      <family val="0"/>
      <charset val="1"/>
    </font>
    <font>
      <b val="true"/>
      <sz val="14"/>
      <name val="Calibri"/>
      <family val="0"/>
      <charset val="1"/>
    </font>
    <font>
      <b val="true"/>
      <sz val="11"/>
      <color rgb="FFFFFFFF"/>
      <name val="Calibri"/>
      <family val="0"/>
      <charset val="1"/>
    </font>
    <font>
      <sz val="10"/>
      <name val="Calibri"/>
      <family val="0"/>
      <charset val="1"/>
    </font>
    <font>
      <b val="true"/>
      <sz val="10"/>
      <name val="Calibri"/>
      <family val="0"/>
      <charset val="1"/>
    </font>
    <font>
      <b val="true"/>
      <sz val="12"/>
      <name val="Calibri"/>
      <family val="0"/>
      <charset val="1"/>
    </font>
  </fonts>
  <fills count="8">
    <fill>
      <patternFill patternType="none"/>
    </fill>
    <fill>
      <patternFill patternType="gray125"/>
    </fill>
    <fill>
      <patternFill patternType="solid">
        <fgColor theme="0"/>
        <bgColor rgb="FFEDEDED"/>
      </patternFill>
    </fill>
    <fill>
      <patternFill patternType="solid">
        <fgColor rgb="FF1F497D"/>
        <bgColor rgb="FF003366"/>
      </patternFill>
    </fill>
    <fill>
      <patternFill patternType="solid">
        <fgColor rgb="FFFFF2CC"/>
        <bgColor rgb="FFFCE4D6"/>
      </patternFill>
    </fill>
    <fill>
      <patternFill patternType="solid">
        <fgColor rgb="FFEDEDED"/>
        <bgColor rgb="FFFCE4D6"/>
      </patternFill>
    </fill>
    <fill>
      <patternFill patternType="solid">
        <fgColor rgb="FFFFFF00"/>
        <bgColor rgb="FFFFFF00"/>
      </patternFill>
    </fill>
    <fill>
      <patternFill patternType="solid">
        <fgColor rgb="FFFCE4D6"/>
        <bgColor rgb="FFFFF2CC"/>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A6A6A6"/>
      </left>
      <right style="thin">
        <color rgb="FFA6A6A6"/>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true" applyBorder="true" applyAlignment="true" applyProtection="false">
      <alignment horizontal="left" vertical="center" textRotation="0" wrapText="true" indent="0" shrinkToFit="false"/>
      <protection locked="true" hidden="false"/>
    </xf>
    <xf numFmtId="165" fontId="0" fillId="4" borderId="1" xfId="0" applyFont="false" applyBorder="true" applyAlignment="true" applyProtection="false">
      <alignment horizontal="left" vertical="center" textRotation="0" wrapText="true" indent="0" shrinkToFit="false"/>
      <protection locked="true" hidden="false"/>
    </xf>
    <xf numFmtId="164" fontId="0" fillId="2" borderId="1" xfId="0" applyFont="true" applyBorder="true" applyAlignment="true" applyProtection="false">
      <alignment horizontal="center" vertical="center" textRotation="0" wrapText="true" indent="0" shrinkToFit="false"/>
      <protection locked="true" hidden="false"/>
    </xf>
    <xf numFmtId="164" fontId="0" fillId="2" borderId="1" xfId="0" applyFont="true" applyBorder="true" applyAlignment="true" applyProtection="false">
      <alignment horizontal="left" vertical="center" textRotation="0" wrapText="true" indent="0" shrinkToFit="false"/>
      <protection locked="true" hidden="false"/>
    </xf>
    <xf numFmtId="165" fontId="0" fillId="2" borderId="1" xfId="0" applyFont="false" applyBorder="true" applyAlignment="true" applyProtection="false">
      <alignment horizontal="left" vertical="center" textRotation="0" wrapText="true" indent="0" shrinkToFit="false"/>
      <protection locked="true" hidden="false"/>
    </xf>
    <xf numFmtId="164" fontId="0"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true" applyBorder="true" applyAlignment="true" applyProtection="false">
      <alignment horizontal="left" vertical="center" textRotation="0" wrapText="true" indent="0" shrinkToFit="false"/>
      <protection locked="true" hidden="false"/>
    </xf>
    <xf numFmtId="165" fontId="0" fillId="5" borderId="1" xfId="0" applyFont="false" applyBorder="true" applyAlignment="true" applyProtection="false">
      <alignment horizontal="left" vertical="center"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0" fillId="7" borderId="2" xfId="0" applyFont="true" applyBorder="true" applyAlignment="true" applyProtection="false">
      <alignment horizontal="general" vertical="top" textRotation="0" wrapText="true" indent="0" shrinkToFit="false"/>
      <protection locked="true" hidden="false"/>
    </xf>
    <xf numFmtId="164" fontId="10" fillId="6"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0" fillId="2"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97D"/>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14.4453125" defaultRowHeight="15" zeroHeight="false" outlineLevelRow="0" outlineLevelCol="0"/>
  <cols>
    <col collapsed="false" customWidth="true" hidden="false" outlineLevel="0" max="1" min="1" style="1" width="1.43"/>
    <col collapsed="false" customWidth="true" hidden="false" outlineLevel="0" max="2" min="2" style="1" width="16.43"/>
    <col collapsed="false" customWidth="true" hidden="false" outlineLevel="0" max="3" min="3" style="1" width="89.71"/>
    <col collapsed="false" customWidth="true" hidden="false" outlineLevel="0" max="4" min="4" style="1" width="27.57"/>
    <col collapsed="false" customWidth="true" hidden="false" outlineLevel="0" max="5" min="5" style="1" width="11.15"/>
    <col collapsed="false" customWidth="true" hidden="false" outlineLevel="0" max="6" min="6" style="1" width="9.14"/>
    <col collapsed="false" customWidth="true" hidden="false" outlineLevel="0" max="8" min="7" style="1" width="11.85"/>
    <col collapsed="false" customWidth="true" hidden="false" outlineLevel="0" max="9" min="9" style="1" width="16.14"/>
    <col collapsed="false" customWidth="true" hidden="false" outlineLevel="0" max="10" min="10" style="1" width="17.86"/>
    <col collapsed="false" customWidth="true" hidden="false" outlineLevel="0" max="11" min="11" style="1" width="32.57"/>
    <col collapsed="false" customWidth="true" hidden="false" outlineLevel="0" max="26" min="12" style="1" width="10.71"/>
  </cols>
  <sheetData>
    <row r="1" customFormat="false" ht="33.75" hidden="false" customHeight="true" outlineLevel="0" collapsed="false">
      <c r="A1" s="2"/>
      <c r="B1" s="3" t="s">
        <v>0</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27.75" hidden="false" customHeight="true" outlineLevel="0" collapsed="false">
      <c r="A4" s="2"/>
      <c r="B4" s="5" t="s">
        <v>1</v>
      </c>
      <c r="C4" s="5" t="s">
        <v>2</v>
      </c>
      <c r="D4" s="5" t="s">
        <v>3</v>
      </c>
      <c r="E4" s="5" t="s">
        <v>4</v>
      </c>
      <c r="F4" s="5" t="s">
        <v>5</v>
      </c>
      <c r="G4" s="5" t="s">
        <v>6</v>
      </c>
      <c r="H4" s="5" t="s">
        <v>7</v>
      </c>
      <c r="I4" s="5" t="s">
        <v>8</v>
      </c>
      <c r="J4" s="5" t="s">
        <v>9</v>
      </c>
      <c r="K4" s="5" t="s">
        <v>10</v>
      </c>
      <c r="L4" s="2"/>
      <c r="M4" s="2"/>
      <c r="N4" s="2"/>
      <c r="O4" s="2"/>
      <c r="P4" s="2"/>
      <c r="Q4" s="2"/>
      <c r="R4" s="2"/>
      <c r="S4" s="2"/>
      <c r="T4" s="2"/>
      <c r="U4" s="2"/>
      <c r="V4" s="2"/>
      <c r="W4" s="2"/>
      <c r="X4" s="2"/>
      <c r="Y4" s="2"/>
      <c r="Z4" s="2"/>
    </row>
    <row r="5" customFormat="false" ht="63" hidden="false" customHeight="true" outlineLevel="0" collapsed="false">
      <c r="A5" s="6"/>
      <c r="B5" s="7" t="s">
        <v>11</v>
      </c>
      <c r="C5" s="8" t="s">
        <v>12</v>
      </c>
      <c r="D5" s="7" t="s">
        <v>13</v>
      </c>
      <c r="E5" s="8" t="s">
        <v>14</v>
      </c>
      <c r="F5" s="8" t="n">
        <v>13</v>
      </c>
      <c r="G5" s="8" t="n">
        <v>5</v>
      </c>
      <c r="H5" s="9" t="n">
        <f aca="false">ROUND(F5/G5,2)</f>
        <v>2.6</v>
      </c>
      <c r="I5" s="8" t="s">
        <v>15</v>
      </c>
      <c r="J5" s="8" t="s">
        <v>16</v>
      </c>
      <c r="K5" s="8" t="s">
        <v>17</v>
      </c>
      <c r="L5" s="6"/>
      <c r="M5" s="6"/>
      <c r="N5" s="6"/>
      <c r="O5" s="6"/>
      <c r="P5" s="6"/>
      <c r="Q5" s="6"/>
      <c r="R5" s="6"/>
      <c r="S5" s="6"/>
      <c r="T5" s="6"/>
      <c r="U5" s="6"/>
      <c r="V5" s="6"/>
      <c r="W5" s="6"/>
      <c r="X5" s="6"/>
      <c r="Y5" s="6"/>
      <c r="Z5" s="6"/>
    </row>
    <row r="6" customFormat="false" ht="63" hidden="false" customHeight="true" outlineLevel="0" collapsed="false">
      <c r="A6" s="6"/>
      <c r="B6" s="7" t="s">
        <v>18</v>
      </c>
      <c r="C6" s="8" t="s">
        <v>19</v>
      </c>
      <c r="D6" s="7" t="s">
        <v>20</v>
      </c>
      <c r="E6" s="8" t="s">
        <v>14</v>
      </c>
      <c r="F6" s="8" t="n">
        <v>13</v>
      </c>
      <c r="G6" s="8" t="n">
        <v>5</v>
      </c>
      <c r="H6" s="9" t="n">
        <f aca="false">ROUND(F6/G6,2)</f>
        <v>2.6</v>
      </c>
      <c r="I6" s="8" t="s">
        <v>15</v>
      </c>
      <c r="J6" s="8" t="s">
        <v>16</v>
      </c>
      <c r="K6" s="8" t="s">
        <v>21</v>
      </c>
      <c r="L6" s="6"/>
      <c r="M6" s="6"/>
      <c r="N6" s="6"/>
      <c r="O6" s="6"/>
      <c r="P6" s="6"/>
      <c r="Q6" s="6"/>
      <c r="R6" s="6"/>
      <c r="S6" s="6"/>
      <c r="T6" s="6"/>
      <c r="U6" s="6"/>
      <c r="V6" s="6"/>
      <c r="W6" s="6"/>
      <c r="X6" s="6"/>
      <c r="Y6" s="6"/>
      <c r="Z6" s="6"/>
    </row>
    <row r="7" customFormat="false" ht="63" hidden="false" customHeight="true" outlineLevel="0" collapsed="false">
      <c r="A7" s="6"/>
      <c r="B7" s="10" t="s">
        <v>22</v>
      </c>
      <c r="C7" s="11" t="s">
        <v>23</v>
      </c>
      <c r="D7" s="10" t="s">
        <v>24</v>
      </c>
      <c r="E7" s="11" t="s">
        <v>14</v>
      </c>
      <c r="F7" s="11" t="n">
        <v>13</v>
      </c>
      <c r="G7" s="11" t="n">
        <v>5</v>
      </c>
      <c r="H7" s="12" t="n">
        <f aca="false">ROUND(F7/G7,2)</f>
        <v>2.6</v>
      </c>
      <c r="I7" s="11" t="s">
        <v>15</v>
      </c>
      <c r="J7" s="11" t="s">
        <v>16</v>
      </c>
      <c r="K7" s="11" t="s">
        <v>25</v>
      </c>
      <c r="L7" s="6"/>
      <c r="M7" s="6"/>
      <c r="N7" s="6"/>
      <c r="O7" s="6"/>
      <c r="P7" s="6"/>
      <c r="Q7" s="6"/>
      <c r="R7" s="6"/>
      <c r="S7" s="6"/>
      <c r="T7" s="6"/>
      <c r="U7" s="6"/>
      <c r="V7" s="6"/>
      <c r="W7" s="6"/>
      <c r="X7" s="6"/>
      <c r="Y7" s="6"/>
      <c r="Z7" s="6"/>
    </row>
    <row r="8" customFormat="false" ht="63" hidden="false" customHeight="true" outlineLevel="0" collapsed="false">
      <c r="A8" s="6"/>
      <c r="B8" s="10" t="s">
        <v>26</v>
      </c>
      <c r="C8" s="11" t="s">
        <v>27</v>
      </c>
      <c r="D8" s="10" t="s">
        <v>28</v>
      </c>
      <c r="E8" s="11" t="s">
        <v>14</v>
      </c>
      <c r="F8" s="11" t="n">
        <v>13</v>
      </c>
      <c r="G8" s="11" t="n">
        <v>5</v>
      </c>
      <c r="H8" s="12" t="n">
        <f aca="false">ROUND(F8/G8,2)</f>
        <v>2.6</v>
      </c>
      <c r="I8" s="11" t="s">
        <v>15</v>
      </c>
      <c r="J8" s="11" t="s">
        <v>16</v>
      </c>
      <c r="K8" s="11" t="s">
        <v>29</v>
      </c>
      <c r="L8" s="6"/>
      <c r="M8" s="6"/>
      <c r="N8" s="6"/>
      <c r="O8" s="6"/>
      <c r="P8" s="6"/>
      <c r="Q8" s="6"/>
      <c r="R8" s="6"/>
      <c r="S8" s="6"/>
      <c r="T8" s="6"/>
      <c r="U8" s="6"/>
      <c r="V8" s="6"/>
      <c r="W8" s="6"/>
      <c r="X8" s="6"/>
      <c r="Y8" s="6"/>
      <c r="Z8" s="6"/>
    </row>
    <row r="9" customFormat="false" ht="63" hidden="false" customHeight="true" outlineLevel="0" collapsed="false">
      <c r="A9" s="6"/>
      <c r="B9" s="10" t="s">
        <v>30</v>
      </c>
      <c r="C9" s="11" t="s">
        <v>31</v>
      </c>
      <c r="D9" s="10" t="s">
        <v>32</v>
      </c>
      <c r="E9" s="11" t="s">
        <v>14</v>
      </c>
      <c r="F9" s="11" t="n">
        <v>8</v>
      </c>
      <c r="G9" s="11" t="n">
        <v>3</v>
      </c>
      <c r="H9" s="12" t="n">
        <f aca="false">ROUND(F9/G9,2)</f>
        <v>2.67</v>
      </c>
      <c r="I9" s="11" t="s">
        <v>33</v>
      </c>
      <c r="J9" s="11" t="s">
        <v>16</v>
      </c>
      <c r="K9" s="11" t="s">
        <v>34</v>
      </c>
      <c r="L9" s="6"/>
      <c r="M9" s="6"/>
      <c r="N9" s="6"/>
      <c r="O9" s="6"/>
      <c r="P9" s="6"/>
      <c r="Q9" s="6"/>
      <c r="R9" s="6"/>
      <c r="S9" s="6"/>
      <c r="T9" s="6"/>
      <c r="U9" s="6"/>
      <c r="V9" s="6"/>
      <c r="W9" s="6"/>
      <c r="X9" s="6"/>
      <c r="Y9" s="6"/>
      <c r="Z9" s="6"/>
    </row>
    <row r="10" customFormat="false" ht="63" hidden="false" customHeight="true" outlineLevel="0" collapsed="false">
      <c r="A10" s="6"/>
      <c r="B10" s="10" t="s">
        <v>35</v>
      </c>
      <c r="C10" s="11" t="s">
        <v>36</v>
      </c>
      <c r="D10" s="10" t="s">
        <v>37</v>
      </c>
      <c r="E10" s="11" t="s">
        <v>14</v>
      </c>
      <c r="F10" s="11" t="n">
        <v>10</v>
      </c>
      <c r="G10" s="11" t="n">
        <v>5</v>
      </c>
      <c r="H10" s="12" t="n">
        <f aca="false">ROUND(F10/G10,2)</f>
        <v>2</v>
      </c>
      <c r="I10" s="11" t="s">
        <v>33</v>
      </c>
      <c r="J10" s="11" t="s">
        <v>16</v>
      </c>
      <c r="K10" s="11" t="s">
        <v>38</v>
      </c>
      <c r="L10" s="6"/>
      <c r="M10" s="6"/>
      <c r="N10" s="6"/>
      <c r="O10" s="6"/>
      <c r="P10" s="6"/>
      <c r="Q10" s="6"/>
      <c r="R10" s="6"/>
      <c r="S10" s="6"/>
      <c r="T10" s="6"/>
      <c r="U10" s="6"/>
      <c r="V10" s="6"/>
      <c r="W10" s="6"/>
      <c r="X10" s="6"/>
      <c r="Y10" s="6"/>
      <c r="Z10" s="6"/>
    </row>
    <row r="11" customFormat="false" ht="63" hidden="false" customHeight="true" outlineLevel="0" collapsed="false">
      <c r="A11" s="6"/>
      <c r="B11" s="7" t="s">
        <v>39</v>
      </c>
      <c r="C11" s="8" t="s">
        <v>40</v>
      </c>
      <c r="D11" s="7" t="s">
        <v>41</v>
      </c>
      <c r="E11" s="8" t="s">
        <v>14</v>
      </c>
      <c r="F11" s="8" t="n">
        <v>8</v>
      </c>
      <c r="G11" s="8" t="n">
        <v>5</v>
      </c>
      <c r="H11" s="9" t="n">
        <f aca="false">ROUND(F11/G11,2)</f>
        <v>1.6</v>
      </c>
      <c r="I11" s="8" t="s">
        <v>33</v>
      </c>
      <c r="J11" s="8" t="s">
        <v>16</v>
      </c>
      <c r="K11" s="8" t="s">
        <v>42</v>
      </c>
      <c r="L11" s="6"/>
      <c r="M11" s="6"/>
      <c r="N11" s="6"/>
      <c r="O11" s="6"/>
      <c r="P11" s="6"/>
      <c r="Q11" s="6"/>
      <c r="R11" s="6"/>
      <c r="S11" s="6"/>
      <c r="T11" s="6"/>
      <c r="U11" s="6"/>
      <c r="V11" s="6"/>
      <c r="W11" s="6"/>
      <c r="X11" s="6"/>
      <c r="Y11" s="6"/>
      <c r="Z11" s="6"/>
    </row>
    <row r="12" customFormat="false" ht="63" hidden="false" customHeight="true" outlineLevel="0" collapsed="false">
      <c r="A12" s="6"/>
      <c r="B12" s="10" t="s">
        <v>43</v>
      </c>
      <c r="C12" s="11" t="s">
        <v>44</v>
      </c>
      <c r="D12" s="10" t="s">
        <v>45</v>
      </c>
      <c r="E12" s="11" t="s">
        <v>14</v>
      </c>
      <c r="F12" s="11" t="n">
        <v>8</v>
      </c>
      <c r="G12" s="11" t="n">
        <v>5</v>
      </c>
      <c r="H12" s="12" t="n">
        <f aca="false">ROUND(F12/G12,2)</f>
        <v>1.6</v>
      </c>
      <c r="I12" s="11" t="s">
        <v>33</v>
      </c>
      <c r="J12" s="11" t="s">
        <v>46</v>
      </c>
      <c r="K12" s="11" t="s">
        <v>47</v>
      </c>
      <c r="L12" s="6"/>
      <c r="M12" s="6"/>
      <c r="N12" s="6"/>
      <c r="O12" s="6"/>
      <c r="P12" s="6"/>
      <c r="Q12" s="6"/>
      <c r="R12" s="6"/>
      <c r="S12" s="6"/>
      <c r="T12" s="6"/>
      <c r="U12" s="6"/>
      <c r="V12" s="6"/>
      <c r="W12" s="6"/>
      <c r="X12" s="6"/>
      <c r="Y12" s="6"/>
      <c r="Z12" s="6"/>
    </row>
    <row r="13" customFormat="false" ht="63" hidden="false" customHeight="true" outlineLevel="0" collapsed="false">
      <c r="A13" s="2"/>
      <c r="B13" s="10" t="s">
        <v>48</v>
      </c>
      <c r="C13" s="11" t="s">
        <v>49</v>
      </c>
      <c r="D13" s="10" t="s">
        <v>50</v>
      </c>
      <c r="E13" s="11" t="s">
        <v>14</v>
      </c>
      <c r="F13" s="11" t="n">
        <v>5</v>
      </c>
      <c r="G13" s="11" t="n">
        <v>3</v>
      </c>
      <c r="H13" s="12" t="n">
        <f aca="false">ROUND(F13/G13,2)</f>
        <v>1.67</v>
      </c>
      <c r="I13" s="11" t="s">
        <v>33</v>
      </c>
      <c r="J13" s="11" t="s">
        <v>46</v>
      </c>
      <c r="K13" s="11" t="s">
        <v>51</v>
      </c>
      <c r="L13" s="2"/>
      <c r="M13" s="2"/>
      <c r="N13" s="2"/>
      <c r="O13" s="2"/>
      <c r="P13" s="2"/>
      <c r="Q13" s="2"/>
      <c r="R13" s="2"/>
      <c r="S13" s="2"/>
      <c r="T13" s="2"/>
      <c r="U13" s="2"/>
      <c r="V13" s="2"/>
      <c r="W13" s="2"/>
      <c r="X13" s="2"/>
      <c r="Y13" s="2"/>
      <c r="Z13" s="2"/>
    </row>
    <row r="14" customFormat="false" ht="63" hidden="false" customHeight="true" outlineLevel="0" collapsed="false">
      <c r="A14" s="2"/>
      <c r="B14" s="10" t="s">
        <v>52</v>
      </c>
      <c r="C14" s="11" t="s">
        <v>53</v>
      </c>
      <c r="D14" s="10" t="s">
        <v>54</v>
      </c>
      <c r="E14" s="11" t="s">
        <v>14</v>
      </c>
      <c r="F14" s="11" t="n">
        <v>10</v>
      </c>
      <c r="G14" s="11" t="n">
        <v>5</v>
      </c>
      <c r="H14" s="12" t="n">
        <f aca="false">ROUND(F14/G14,2)</f>
        <v>2</v>
      </c>
      <c r="I14" s="11" t="s">
        <v>55</v>
      </c>
      <c r="J14" s="11" t="s">
        <v>16</v>
      </c>
      <c r="K14" s="11" t="s">
        <v>56</v>
      </c>
      <c r="L14" s="2"/>
      <c r="M14" s="2"/>
      <c r="N14" s="2"/>
      <c r="O14" s="2"/>
      <c r="P14" s="2"/>
      <c r="Q14" s="2"/>
      <c r="R14" s="2"/>
      <c r="S14" s="2"/>
      <c r="T14" s="2"/>
      <c r="U14" s="2"/>
      <c r="V14" s="2"/>
      <c r="W14" s="2"/>
      <c r="X14" s="2"/>
      <c r="Y14" s="2"/>
      <c r="Z14" s="2"/>
    </row>
    <row r="15" customFormat="false" ht="63" hidden="false" customHeight="true" outlineLevel="0" collapsed="false">
      <c r="A15" s="2"/>
      <c r="B15" s="10" t="s">
        <v>57</v>
      </c>
      <c r="C15" s="11" t="s">
        <v>58</v>
      </c>
      <c r="D15" s="10" t="s">
        <v>59</v>
      </c>
      <c r="E15" s="11" t="s">
        <v>14</v>
      </c>
      <c r="F15" s="11" t="n">
        <v>13</v>
      </c>
      <c r="G15" s="11" t="n">
        <v>8</v>
      </c>
      <c r="H15" s="12" t="n">
        <f aca="false">ROUND(F15/G15,2)</f>
        <v>1.63</v>
      </c>
      <c r="I15" s="11" t="s">
        <v>55</v>
      </c>
      <c r="J15" s="11" t="s">
        <v>46</v>
      </c>
      <c r="K15" s="11" t="s">
        <v>60</v>
      </c>
      <c r="L15" s="2"/>
      <c r="M15" s="2"/>
      <c r="N15" s="2"/>
      <c r="O15" s="2"/>
      <c r="P15" s="2"/>
      <c r="Q15" s="2"/>
      <c r="R15" s="2"/>
      <c r="S15" s="2"/>
      <c r="T15" s="2"/>
      <c r="U15" s="2"/>
      <c r="V15" s="2"/>
      <c r="W15" s="2"/>
      <c r="X15" s="2"/>
      <c r="Y15" s="2"/>
      <c r="Z15" s="2"/>
    </row>
    <row r="16" customFormat="false" ht="63" hidden="false" customHeight="true" outlineLevel="0" collapsed="false">
      <c r="A16" s="2"/>
      <c r="B16" s="7" t="s">
        <v>61</v>
      </c>
      <c r="C16" s="8" t="s">
        <v>62</v>
      </c>
      <c r="D16" s="7" t="s">
        <v>63</v>
      </c>
      <c r="E16" s="8" t="s">
        <v>14</v>
      </c>
      <c r="F16" s="8" t="n">
        <v>5</v>
      </c>
      <c r="G16" s="8" t="n">
        <v>3</v>
      </c>
      <c r="H16" s="9" t="n">
        <f aca="false">ROUND(F16/G16,2)</f>
        <v>1.67</v>
      </c>
      <c r="I16" s="8" t="s">
        <v>55</v>
      </c>
      <c r="J16" s="8" t="s">
        <v>46</v>
      </c>
      <c r="K16" s="8" t="s">
        <v>64</v>
      </c>
      <c r="L16" s="2"/>
      <c r="M16" s="2"/>
      <c r="N16" s="2"/>
      <c r="O16" s="2"/>
      <c r="P16" s="2"/>
      <c r="Q16" s="2"/>
      <c r="R16" s="2"/>
      <c r="S16" s="2"/>
      <c r="T16" s="2"/>
      <c r="U16" s="2"/>
      <c r="V16" s="2"/>
      <c r="W16" s="2"/>
      <c r="X16" s="2"/>
      <c r="Y16" s="2"/>
      <c r="Z16" s="2"/>
    </row>
    <row r="17" customFormat="false" ht="63" hidden="false" customHeight="true" outlineLevel="0" collapsed="false">
      <c r="A17" s="2"/>
      <c r="B17" s="10" t="s">
        <v>65</v>
      </c>
      <c r="C17" s="11" t="s">
        <v>66</v>
      </c>
      <c r="D17" s="10" t="s">
        <v>67</v>
      </c>
      <c r="E17" s="11" t="s">
        <v>14</v>
      </c>
      <c r="F17" s="11" t="n">
        <v>8</v>
      </c>
      <c r="G17" s="11" t="n">
        <v>5</v>
      </c>
      <c r="H17" s="12" t="n">
        <f aca="false">ROUND(F17/G17,2)</f>
        <v>1.6</v>
      </c>
      <c r="I17" s="11" t="s">
        <v>55</v>
      </c>
      <c r="J17" s="11" t="s">
        <v>46</v>
      </c>
      <c r="K17" s="11" t="s">
        <v>68</v>
      </c>
      <c r="L17" s="2"/>
      <c r="M17" s="2"/>
      <c r="N17" s="2"/>
      <c r="O17" s="2"/>
      <c r="P17" s="2"/>
      <c r="Q17" s="2"/>
      <c r="R17" s="2"/>
      <c r="S17" s="2"/>
      <c r="T17" s="2"/>
      <c r="U17" s="2"/>
      <c r="V17" s="2"/>
      <c r="W17" s="2"/>
      <c r="X17" s="2"/>
      <c r="Y17" s="2"/>
      <c r="Z17" s="2"/>
    </row>
    <row r="18" customFormat="false" ht="63" hidden="false" customHeight="true" outlineLevel="0" collapsed="false">
      <c r="A18" s="2"/>
      <c r="B18" s="10" t="s">
        <v>69</v>
      </c>
      <c r="C18" s="11" t="s">
        <v>70</v>
      </c>
      <c r="D18" s="10" t="s">
        <v>71</v>
      </c>
      <c r="E18" s="11" t="s">
        <v>14</v>
      </c>
      <c r="F18" s="11" t="n">
        <v>8</v>
      </c>
      <c r="G18" s="11" t="n">
        <v>8</v>
      </c>
      <c r="H18" s="12" t="n">
        <f aca="false">ROUND(F18/G18,2)</f>
        <v>1</v>
      </c>
      <c r="I18" s="11" t="s">
        <v>72</v>
      </c>
      <c r="J18" s="11" t="s">
        <v>46</v>
      </c>
      <c r="K18" s="11" t="s">
        <v>73</v>
      </c>
      <c r="L18" s="2"/>
      <c r="M18" s="2"/>
      <c r="N18" s="2"/>
      <c r="O18" s="2"/>
      <c r="P18" s="2"/>
      <c r="Q18" s="2"/>
      <c r="R18" s="2"/>
      <c r="S18" s="2"/>
      <c r="T18" s="2"/>
      <c r="U18" s="2"/>
      <c r="V18" s="2"/>
      <c r="W18" s="2"/>
      <c r="X18" s="2"/>
      <c r="Y18" s="2"/>
      <c r="Z18" s="2"/>
    </row>
    <row r="19" customFormat="false" ht="63" hidden="false" customHeight="true" outlineLevel="0" collapsed="false">
      <c r="A19" s="2"/>
      <c r="B19" s="10" t="s">
        <v>74</v>
      </c>
      <c r="C19" s="11" t="s">
        <v>75</v>
      </c>
      <c r="D19" s="10" t="s">
        <v>76</v>
      </c>
      <c r="E19" s="11" t="s">
        <v>14</v>
      </c>
      <c r="F19" s="11" t="n">
        <v>8</v>
      </c>
      <c r="G19" s="11" t="n">
        <v>8</v>
      </c>
      <c r="H19" s="12" t="n">
        <f aca="false">ROUND(F19/G19,2)</f>
        <v>1</v>
      </c>
      <c r="I19" s="11" t="s">
        <v>72</v>
      </c>
      <c r="J19" s="11" t="s">
        <v>77</v>
      </c>
      <c r="K19" s="11" t="s">
        <v>78</v>
      </c>
      <c r="L19" s="2"/>
      <c r="M19" s="2"/>
      <c r="N19" s="2"/>
      <c r="O19" s="2"/>
      <c r="P19" s="2"/>
      <c r="Q19" s="2"/>
      <c r="R19" s="2"/>
      <c r="S19" s="2"/>
      <c r="T19" s="2"/>
      <c r="U19" s="2"/>
      <c r="V19" s="2"/>
      <c r="W19" s="2"/>
      <c r="X19" s="2"/>
      <c r="Y19" s="2"/>
      <c r="Z19" s="2"/>
    </row>
    <row r="20" customFormat="false" ht="63" hidden="false" customHeight="true" outlineLevel="0" collapsed="false">
      <c r="A20" s="2"/>
      <c r="B20" s="10" t="s">
        <v>79</v>
      </c>
      <c r="C20" s="11" t="s">
        <v>80</v>
      </c>
      <c r="D20" s="10" t="s">
        <v>81</v>
      </c>
      <c r="E20" s="11" t="s">
        <v>14</v>
      </c>
      <c r="F20" s="11" t="n">
        <v>3</v>
      </c>
      <c r="G20" s="11" t="n">
        <v>2</v>
      </c>
      <c r="H20" s="12" t="n">
        <f aca="false">ROUND(F20/G20,2)</f>
        <v>1.5</v>
      </c>
      <c r="I20" s="11" t="s">
        <v>72</v>
      </c>
      <c r="J20" s="11" t="s">
        <v>77</v>
      </c>
      <c r="K20" s="11" t="s">
        <v>82</v>
      </c>
      <c r="L20" s="2"/>
      <c r="M20" s="2"/>
      <c r="N20" s="2"/>
      <c r="O20" s="2"/>
      <c r="P20" s="2"/>
      <c r="Q20" s="2"/>
      <c r="R20" s="2"/>
      <c r="S20" s="2"/>
      <c r="T20" s="2"/>
      <c r="U20" s="2"/>
      <c r="V20" s="2"/>
      <c r="W20" s="2"/>
      <c r="X20" s="2"/>
      <c r="Y20" s="2"/>
      <c r="Z20" s="2"/>
    </row>
    <row r="21" customFormat="false" ht="63" hidden="false" customHeight="true" outlineLevel="0" collapsed="false">
      <c r="A21" s="2"/>
      <c r="B21" s="13" t="s">
        <v>83</v>
      </c>
      <c r="C21" s="14" t="s">
        <v>84</v>
      </c>
      <c r="D21" s="13" t="s">
        <v>85</v>
      </c>
      <c r="E21" s="14"/>
      <c r="F21" s="14" t="n">
        <v>8</v>
      </c>
      <c r="G21" s="14" t="n">
        <v>5</v>
      </c>
      <c r="H21" s="15" t="n">
        <f aca="false">ROUND(F21/G21,2)</f>
        <v>1.6</v>
      </c>
      <c r="I21" s="14" t="s">
        <v>86</v>
      </c>
      <c r="J21" s="14" t="s">
        <v>46</v>
      </c>
      <c r="K21" s="14" t="s">
        <v>87</v>
      </c>
      <c r="L21" s="2"/>
      <c r="M21" s="2"/>
      <c r="N21" s="2"/>
      <c r="O21" s="2"/>
      <c r="P21" s="2"/>
      <c r="Q21" s="2"/>
      <c r="R21" s="2"/>
      <c r="S21" s="2"/>
      <c r="T21" s="2"/>
      <c r="U21" s="2"/>
      <c r="V21" s="2"/>
      <c r="W21" s="2"/>
      <c r="X21" s="2"/>
      <c r="Y21" s="2"/>
      <c r="Z21" s="2"/>
    </row>
    <row r="22" customFormat="false" ht="63" hidden="false" customHeight="true" outlineLevel="0" collapsed="false">
      <c r="A22" s="2"/>
      <c r="B22" s="13" t="s">
        <v>88</v>
      </c>
      <c r="C22" s="14" t="s">
        <v>89</v>
      </c>
      <c r="D22" s="13" t="s">
        <v>90</v>
      </c>
      <c r="E22" s="14"/>
      <c r="F22" s="14" t="n">
        <v>8</v>
      </c>
      <c r="G22" s="14" t="n">
        <v>3</v>
      </c>
      <c r="H22" s="15" t="n">
        <f aca="false">ROUND(F22/G22,2)</f>
        <v>2.67</v>
      </c>
      <c r="I22" s="14" t="s">
        <v>86</v>
      </c>
      <c r="J22" s="14" t="s">
        <v>46</v>
      </c>
      <c r="K22" s="14" t="s">
        <v>91</v>
      </c>
      <c r="L22" s="2"/>
      <c r="M22" s="2"/>
      <c r="N22" s="2"/>
      <c r="O22" s="2"/>
      <c r="P22" s="2"/>
      <c r="Q22" s="2"/>
      <c r="R22" s="2"/>
      <c r="S22" s="2"/>
      <c r="T22" s="2"/>
      <c r="U22" s="2"/>
      <c r="V22" s="2"/>
      <c r="W22" s="2"/>
      <c r="X22" s="2"/>
      <c r="Y22" s="2"/>
      <c r="Z22" s="2"/>
    </row>
    <row r="23" customFormat="false" ht="63" hidden="false" customHeight="true" outlineLevel="0" collapsed="false">
      <c r="A23" s="2"/>
      <c r="B23" s="13" t="s">
        <v>92</v>
      </c>
      <c r="C23" s="14" t="s">
        <v>93</v>
      </c>
      <c r="D23" s="13" t="s">
        <v>94</v>
      </c>
      <c r="E23" s="14"/>
      <c r="F23" s="14" t="n">
        <v>5</v>
      </c>
      <c r="G23" s="14" t="n">
        <v>3</v>
      </c>
      <c r="H23" s="15" t="n">
        <f aca="false">ROUND(F23/G23,2)</f>
        <v>1.67</v>
      </c>
      <c r="I23" s="14" t="s">
        <v>86</v>
      </c>
      <c r="J23" s="14" t="s">
        <v>77</v>
      </c>
      <c r="K23" s="14" t="s">
        <v>95</v>
      </c>
      <c r="L23" s="2"/>
      <c r="M23" s="2"/>
      <c r="N23" s="2"/>
      <c r="O23" s="2"/>
      <c r="P23" s="2"/>
      <c r="Q23" s="2"/>
      <c r="R23" s="2"/>
      <c r="S23" s="2"/>
      <c r="T23" s="2"/>
      <c r="U23" s="2"/>
      <c r="V23" s="2"/>
      <c r="W23" s="2"/>
      <c r="X23" s="2"/>
      <c r="Y23" s="2"/>
      <c r="Z23" s="2"/>
    </row>
    <row r="24" customFormat="false" ht="63" hidden="false" customHeight="true" outlineLevel="0" collapsed="false">
      <c r="A24" s="2"/>
      <c r="B24" s="13" t="s">
        <v>96</v>
      </c>
      <c r="C24" s="14" t="s">
        <v>97</v>
      </c>
      <c r="D24" s="13" t="s">
        <v>98</v>
      </c>
      <c r="E24" s="14"/>
      <c r="F24" s="14" t="n">
        <v>13</v>
      </c>
      <c r="G24" s="14" t="n">
        <v>13</v>
      </c>
      <c r="H24" s="15" t="n">
        <f aca="false">ROUND(F24/G24,2)</f>
        <v>1</v>
      </c>
      <c r="I24" s="14" t="s">
        <v>86</v>
      </c>
      <c r="J24" s="14" t="s">
        <v>46</v>
      </c>
      <c r="K24" s="14" t="s">
        <v>99</v>
      </c>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33" hidden="false" customHeight="true" outlineLevel="0" collapsed="false">
      <c r="A26" s="2"/>
      <c r="B26" s="16" t="s">
        <v>100</v>
      </c>
      <c r="C26" s="17" t="s">
        <v>101</v>
      </c>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236111111111111" right="0.236111111111111" top="0.747916666666667" bottom="0.747916666666667" header="0.511811023622047" footer="0.511811023622047"/>
  <pageSetup paperSize="1" scale="7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3"/>
    <col collapsed="false" customWidth="true" hidden="false" outlineLevel="0" max="4" min="4" style="0" width="15"/>
    <col collapsed="false" customWidth="true" hidden="false" outlineLevel="0" max="5" min="5" style="0" width="45"/>
    <col collapsed="false" customWidth="true" hidden="false" outlineLevel="0" max="6" min="6" style="0" width="70"/>
  </cols>
  <sheetData>
    <row r="1" customFormat="false" ht="17.35" hidden="false" customHeight="false" outlineLevel="0" collapsed="false">
      <c r="A1" s="18" t="s">
        <v>102</v>
      </c>
    </row>
    <row r="3" customFormat="false" ht="15" hidden="false" customHeight="false" outlineLevel="0" collapsed="false">
      <c r="A3" s="19" t="s">
        <v>103</v>
      </c>
      <c r="D3" s="20" t="n">
        <v>20</v>
      </c>
      <c r="E3" s="1" t="s">
        <v>104</v>
      </c>
    </row>
    <row r="4" customFormat="false" ht="15" hidden="false" customHeight="false" outlineLevel="0" collapsed="false">
      <c r="A4" s="19" t="s">
        <v>105</v>
      </c>
      <c r="D4" s="20" t="n">
        <v>1</v>
      </c>
      <c r="E4" s="1" t="s">
        <v>106</v>
      </c>
    </row>
    <row r="6" customFormat="false" ht="28.35" hidden="false" customHeight="false" outlineLevel="0" collapsed="false">
      <c r="A6" s="21" t="s">
        <v>107</v>
      </c>
      <c r="B6" s="21" t="s">
        <v>108</v>
      </c>
      <c r="C6" s="21" t="s">
        <v>109</v>
      </c>
      <c r="D6" s="21" t="s">
        <v>110</v>
      </c>
      <c r="E6" s="21" t="s">
        <v>111</v>
      </c>
      <c r="F6" s="21" t="s">
        <v>112</v>
      </c>
    </row>
    <row r="7" customFormat="false" ht="79.5" hidden="false" customHeight="true" outlineLevel="0" collapsed="false">
      <c r="A7" s="22" t="s">
        <v>15</v>
      </c>
      <c r="B7" s="22" t="s">
        <v>113</v>
      </c>
      <c r="C7" s="22" t="n">
        <f aca="false">SUMIFS('Historias de Usuario'!$G$5:$G$24,'Historias de Usuario'!$I$5:$I$24,A7)</f>
        <v>20</v>
      </c>
      <c r="D7" s="22" t="str">
        <f aca="false">IF(C7&gt;1.1*$D$3,"Sobrecarga",IF(C7&gt;=0.8*$D$3,"OK","Holgura"))</f>
        <v>OK</v>
      </c>
      <c r="E7" s="22" t="s">
        <v>114</v>
      </c>
      <c r="F7" s="22" t="s">
        <v>115</v>
      </c>
    </row>
    <row r="8" customFormat="false" ht="79.5" hidden="false" customHeight="true" outlineLevel="0" collapsed="false">
      <c r="A8" s="22" t="s">
        <v>33</v>
      </c>
      <c r="B8" s="22" t="s">
        <v>116</v>
      </c>
      <c r="C8" s="22" t="n">
        <f aca="false">SUMIFS('Historias de Usuario'!$G$5:$G$24,'Historias de Usuario'!$I$5:$I$24,A8)</f>
        <v>21</v>
      </c>
      <c r="D8" s="22" t="str">
        <f aca="false">IF(C8&gt;1.1*$D$3,"Sobrecarga",IF(C8&gt;=0.8*$D$3,"OK","Holgura"))</f>
        <v>OK</v>
      </c>
      <c r="E8" s="22" t="s">
        <v>117</v>
      </c>
      <c r="F8" s="22" t="s">
        <v>118</v>
      </c>
    </row>
    <row r="9" customFormat="false" ht="79.5" hidden="false" customHeight="true" outlineLevel="0" collapsed="false">
      <c r="A9" s="22" t="s">
        <v>55</v>
      </c>
      <c r="B9" s="22" t="s">
        <v>119</v>
      </c>
      <c r="C9" s="22" t="n">
        <f aca="false">SUMIFS('Historias de Usuario'!$G$5:$G$24,'Historias de Usuario'!$I$5:$I$24,A9)</f>
        <v>21</v>
      </c>
      <c r="D9" s="22" t="str">
        <f aca="false">IF(C9&gt;1.1*$D$3,"Sobrecarga",IF(C9&gt;=0.8*$D$3,"OK","Holgura"))</f>
        <v>OK</v>
      </c>
      <c r="E9" s="22" t="s">
        <v>120</v>
      </c>
      <c r="F9" s="22" t="s">
        <v>121</v>
      </c>
    </row>
    <row r="10" customFormat="false" ht="79.5" hidden="false" customHeight="true" outlineLevel="0" collapsed="false">
      <c r="A10" s="22" t="s">
        <v>72</v>
      </c>
      <c r="B10" s="22" t="s">
        <v>122</v>
      </c>
      <c r="C10" s="22" t="n">
        <f aca="false">SUMIFS('Historias de Usuario'!$G$5:$G$24,'Historias de Usuario'!$I$5:$I$24,A10)</f>
        <v>18</v>
      </c>
      <c r="D10" s="22" t="str">
        <f aca="false">IF(C10&gt;1.1*$D$3,"Sobrecarga",IF(C10&gt;=0.8*$D$3,"OK","Holgura"))</f>
        <v>OK</v>
      </c>
      <c r="E10" s="22" t="s">
        <v>123</v>
      </c>
      <c r="F10" s="22" t="s">
        <v>124</v>
      </c>
    </row>
    <row r="11" customFormat="false" ht="79.5" hidden="false" customHeight="true" outlineLevel="0" collapsed="false">
      <c r="A11" s="22" t="s">
        <v>86</v>
      </c>
      <c r="B11" s="22" t="s">
        <v>125</v>
      </c>
      <c r="C11" s="22" t="n">
        <f aca="false">SUMIFS('Historias de Usuario'!$G$5:$G$24,'Historias de Usuario'!$I$5:$I$24,A11)</f>
        <v>24</v>
      </c>
      <c r="D11" s="22"/>
      <c r="E11" s="22" t="s">
        <v>126</v>
      </c>
      <c r="F11" s="22" t="s">
        <v>127</v>
      </c>
    </row>
    <row r="12" customFormat="false" ht="15" hidden="false" customHeight="false" outlineLevel="0" collapsed="false">
      <c r="A12" s="23" t="s">
        <v>128</v>
      </c>
      <c r="B12" s="23"/>
      <c r="C12" s="23" t="n">
        <f aca="false">SUM(C7:C10)</f>
        <v>80</v>
      </c>
      <c r="D12" s="23" t="str">
        <f aca="false">IF(C12&gt;4*$D$3,"No cabe en 4 sprints","Cabe en 4 sprints")</f>
        <v>Cabe en 4 sprints</v>
      </c>
      <c r="E12" s="22"/>
      <c r="F12" s="22"/>
    </row>
    <row r="13" customFormat="false" ht="23.85" hidden="false" customHeight="false" outlineLevel="0" collapsed="false">
      <c r="A13" s="23" t="s">
        <v>129</v>
      </c>
      <c r="B13" s="23"/>
      <c r="C13" s="23" t="n">
        <f aca="false">SUM('Historias de Usuario'!$G$5:$G$24)</f>
        <v>104</v>
      </c>
      <c r="D13" s="23" t="str">
        <f aca="false">IF(C13&gt;4*$D$3,"No cabe en 4 sprints","Cabe en 4 sprints")</f>
        <v>No cabe en 4 sprints</v>
      </c>
      <c r="E13" s="22"/>
      <c r="F13" s="22"/>
    </row>
    <row r="16" customFormat="false" ht="15" hidden="false" customHeight="false" outlineLevel="0" collapsed="false">
      <c r="A16" s="19" t="s">
        <v>130</v>
      </c>
      <c r="D16" s="20" t="n">
        <v>30</v>
      </c>
      <c r="E16" s="0" t="s">
        <v>131</v>
      </c>
    </row>
    <row r="18" customFormat="false" ht="15" hidden="false" customHeight="false" outlineLevel="0" collapsed="false">
      <c r="A18" s="24" t="s">
        <v>107</v>
      </c>
      <c r="B18" s="24" t="s">
        <v>132</v>
      </c>
      <c r="C18" s="24" t="s">
        <v>133</v>
      </c>
      <c r="D18" s="24" t="s">
        <v>134</v>
      </c>
      <c r="E18" s="24" t="s">
        <v>135</v>
      </c>
    </row>
    <row r="19" customFormat="false" ht="15" hidden="false" customHeight="false" outlineLevel="0" collapsed="false">
      <c r="A19" s="22" t="s">
        <v>15</v>
      </c>
      <c r="B19" s="22" t="n">
        <f aca="false">SUMIFS('Tareas (Sprint Backlog)'!$H$5:$H$73,'Tareas (Sprint Backlog)'!$B$5:$B$73,A19,'Tareas (Sprint Backlog)'!$F$5:$F$73,"Lujan")</f>
        <v>35</v>
      </c>
      <c r="C19" s="22" t="n">
        <f aca="false">SUMIFS('Tareas (Sprint Backlog)'!$H$5:$H$73,'Tareas (Sprint Backlog)'!$B$5:$B$73,A19,'Tareas (Sprint Backlog)'!$F$5:$F$73,"Galvan")</f>
        <v>43</v>
      </c>
      <c r="D19" s="22" t="str">
        <f aca="false">IF(B19&gt;$D$16,"Sobrecarga: "&amp;TEXT(B19-$D$16,"0")&amp;" h","OK")</f>
        <v>Sobrecarga: 5 h</v>
      </c>
      <c r="E19" s="22" t="str">
        <f aca="false">IF(C19&gt;$D$16,"Sobrecarga: "&amp;TEXT(C19-$D$16,"0")&amp;" h","OK")</f>
        <v>Sobrecarga: 13 h</v>
      </c>
    </row>
    <row r="20" customFormat="false" ht="15" hidden="false" customHeight="false" outlineLevel="0" collapsed="false">
      <c r="A20" s="22" t="s">
        <v>33</v>
      </c>
      <c r="B20" s="22" t="n">
        <f aca="false">SUMIFS('Tareas (Sprint Backlog)'!$H$5:$H$73,'Tareas (Sprint Backlog)'!$B$5:$B$73,A20,'Tareas (Sprint Backlog)'!$F$5:$F$73,"Lujan")</f>
        <v>17</v>
      </c>
      <c r="C20" s="22" t="n">
        <f aca="false">SUMIFS('Tareas (Sprint Backlog)'!$H$5:$H$73,'Tareas (Sprint Backlog)'!$B$5:$B$73,A20,'Tareas (Sprint Backlog)'!$F$5:$F$73,"Galvan")</f>
        <v>21</v>
      </c>
      <c r="D20" s="22" t="str">
        <f aca="false">IF(B20&gt;$D$16,"Sobrecarga: "&amp;TEXT(B20-$D$16,"0")&amp;" h","OK")</f>
        <v>OK</v>
      </c>
      <c r="E20" s="22" t="str">
        <f aca="false">IF(C20&gt;$D$16,"Sobrecarga: "&amp;TEXT(C20-$D$16,"0")&amp;" h","OK")</f>
        <v>OK</v>
      </c>
    </row>
    <row r="21" customFormat="false" ht="15" hidden="false" customHeight="false" outlineLevel="0" collapsed="false">
      <c r="A21" s="22" t="s">
        <v>55</v>
      </c>
      <c r="B21" s="22" t="n">
        <f aca="false">SUMIFS('Tareas (Sprint Backlog)'!$H$5:$H$73,'Tareas (Sprint Backlog)'!$B$5:$B$73,A21,'Tareas (Sprint Backlog)'!$F$5:$F$73,"Lujan")</f>
        <v>18</v>
      </c>
      <c r="C21" s="22" t="n">
        <f aca="false">SUMIFS('Tareas (Sprint Backlog)'!$H$5:$H$73,'Tareas (Sprint Backlog)'!$B$5:$B$73,A21,'Tareas (Sprint Backlog)'!$F$5:$F$73,"Galvan")</f>
        <v>20</v>
      </c>
      <c r="D21" s="22" t="str">
        <f aca="false">IF(B21&gt;$D$16,"Sobrecarga: "&amp;TEXT(B21-$D$16,"0")&amp;" h","OK")</f>
        <v>OK</v>
      </c>
      <c r="E21" s="22" t="str">
        <f aca="false">IF(C21&gt;$D$16,"Sobrecarga: "&amp;TEXT(C21-$D$16,"0")&amp;" h","OK")</f>
        <v>OK</v>
      </c>
    </row>
    <row r="22" customFormat="false" ht="15" hidden="false" customHeight="false" outlineLevel="0" collapsed="false">
      <c r="A22" s="22" t="s">
        <v>72</v>
      </c>
      <c r="B22" s="22" t="n">
        <f aca="false">SUMIFS('Tareas (Sprint Backlog)'!$H$5:$H$73,'Tareas (Sprint Backlog)'!$B$5:$B$73,A22,'Tareas (Sprint Backlog)'!$F$5:$F$73,"Lujan")</f>
        <v>17</v>
      </c>
      <c r="C22" s="22" t="n">
        <f aca="false">SUMIFS('Tareas (Sprint Backlog)'!$H$5:$H$73,'Tareas (Sprint Backlog)'!$B$5:$B$73,A22,'Tareas (Sprint Backlog)'!$F$5:$F$73,"Galvan")</f>
        <v>15</v>
      </c>
      <c r="D22" s="22" t="str">
        <f aca="false">IF(B22&gt;$D$16,"Sobrecarga: "&amp;TEXT(B22-$D$16,"0")&amp;" h","OK")</f>
        <v>OK</v>
      </c>
      <c r="E22" s="22" t="str">
        <f aca="false">IF(C22&gt;$D$16,"Sobrecarga: "&amp;TEXT(C22-$D$16,"0")&amp;" h","OK")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10"/>
    <col collapsed="false" customWidth="true" hidden="false" outlineLevel="0" max="4" min="4" style="0" width="70"/>
    <col collapsed="false" customWidth="true" hidden="false" outlineLevel="0" max="5" min="5" style="0" width="16"/>
    <col collapsed="false" customWidth="true" hidden="false" outlineLevel="0" max="6" min="6" style="0" width="1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0" min="10" style="0" width="20"/>
  </cols>
  <sheetData>
    <row r="1" customFormat="false" ht="17.35" hidden="false" customHeight="false" outlineLevel="0" collapsed="false">
      <c r="A1" s="18" t="s">
        <v>136</v>
      </c>
    </row>
    <row r="2" customFormat="false" ht="42" hidden="false" customHeight="true" outlineLevel="0" collapsed="false">
      <c r="A2" s="25" t="s">
        <v>137</v>
      </c>
      <c r="B2" s="25"/>
      <c r="C2" s="25"/>
      <c r="D2" s="25"/>
      <c r="E2" s="25"/>
      <c r="F2" s="25"/>
      <c r="G2" s="25"/>
      <c r="H2" s="25"/>
      <c r="I2" s="25"/>
      <c r="J2" s="25"/>
    </row>
    <row r="4" customFormat="false" ht="28.35" hidden="false" customHeight="false" outlineLevel="0" collapsed="false">
      <c r="A4" s="21" t="s">
        <v>138</v>
      </c>
      <c r="B4" s="21" t="s">
        <v>107</v>
      </c>
      <c r="C4" s="21" t="s">
        <v>139</v>
      </c>
      <c r="D4" s="21" t="s">
        <v>140</v>
      </c>
      <c r="E4" s="21" t="s">
        <v>141</v>
      </c>
      <c r="F4" s="21" t="s">
        <v>142</v>
      </c>
      <c r="G4" s="21" t="s">
        <v>143</v>
      </c>
      <c r="H4" s="21" t="s">
        <v>144</v>
      </c>
      <c r="I4" s="21" t="s">
        <v>4</v>
      </c>
      <c r="J4" s="21" t="s">
        <v>145</v>
      </c>
    </row>
    <row r="5" customFormat="false" ht="31.5" hidden="false" customHeight="true" outlineLevel="0" collapsed="false">
      <c r="A5" s="22" t="s">
        <v>146</v>
      </c>
      <c r="B5" s="22" t="s">
        <v>15</v>
      </c>
      <c r="C5" s="22" t="s">
        <v>147</v>
      </c>
      <c r="D5" s="22" t="s">
        <v>148</v>
      </c>
      <c r="E5" s="22" t="s">
        <v>149</v>
      </c>
      <c r="F5" s="22" t="s">
        <v>150</v>
      </c>
      <c r="G5" s="22" t="s">
        <v>151</v>
      </c>
      <c r="H5" s="22" t="n">
        <v>3</v>
      </c>
      <c r="I5" s="22" t="s">
        <v>152</v>
      </c>
      <c r="J5" s="22" t="s">
        <v>153</v>
      </c>
    </row>
    <row r="6" customFormat="false" ht="31.5" hidden="false" customHeight="true" outlineLevel="0" collapsed="false">
      <c r="A6" s="22" t="s">
        <v>154</v>
      </c>
      <c r="B6" s="22" t="s">
        <v>15</v>
      </c>
      <c r="C6" s="22" t="s">
        <v>147</v>
      </c>
      <c r="D6" s="22" t="s">
        <v>155</v>
      </c>
      <c r="E6" s="22" t="s">
        <v>156</v>
      </c>
      <c r="F6" s="22" t="s">
        <v>151</v>
      </c>
      <c r="G6" s="22" t="s">
        <v>150</v>
      </c>
      <c r="H6" s="22" t="n">
        <v>3</v>
      </c>
      <c r="I6" s="22" t="s">
        <v>152</v>
      </c>
      <c r="J6" s="22" t="s">
        <v>157</v>
      </c>
    </row>
    <row r="7" customFormat="false" ht="31.5" hidden="false" customHeight="true" outlineLevel="0" collapsed="false">
      <c r="A7" s="22" t="s">
        <v>158</v>
      </c>
      <c r="B7" s="22" t="s">
        <v>15</v>
      </c>
      <c r="C7" s="22" t="s">
        <v>147</v>
      </c>
      <c r="D7" s="22" t="s">
        <v>159</v>
      </c>
      <c r="E7" s="22" t="s">
        <v>149</v>
      </c>
      <c r="F7" s="22" t="s">
        <v>150</v>
      </c>
      <c r="G7" s="22" t="s">
        <v>151</v>
      </c>
      <c r="H7" s="22" t="n">
        <v>2</v>
      </c>
      <c r="I7" s="22" t="s">
        <v>152</v>
      </c>
      <c r="J7" s="22" t="s">
        <v>153</v>
      </c>
    </row>
    <row r="8" customFormat="false" ht="31.5" hidden="false" customHeight="true" outlineLevel="0" collapsed="false">
      <c r="A8" s="22" t="s">
        <v>160</v>
      </c>
      <c r="B8" s="22" t="s">
        <v>15</v>
      </c>
      <c r="C8" s="22" t="s">
        <v>147</v>
      </c>
      <c r="D8" s="22" t="s">
        <v>161</v>
      </c>
      <c r="E8" s="22" t="s">
        <v>162</v>
      </c>
      <c r="F8" s="22" t="s">
        <v>151</v>
      </c>
      <c r="G8" s="22" t="s">
        <v>150</v>
      </c>
      <c r="H8" s="22" t="n">
        <v>2</v>
      </c>
      <c r="I8" s="22" t="s">
        <v>152</v>
      </c>
      <c r="J8" s="22" t="s">
        <v>163</v>
      </c>
    </row>
    <row r="9" customFormat="false" ht="31.5" hidden="false" customHeight="true" outlineLevel="0" collapsed="false">
      <c r="A9" s="22" t="s">
        <v>164</v>
      </c>
      <c r="B9" s="22" t="s">
        <v>15</v>
      </c>
      <c r="C9" s="22" t="s">
        <v>165</v>
      </c>
      <c r="D9" s="22" t="s">
        <v>166</v>
      </c>
      <c r="E9" s="22" t="s">
        <v>165</v>
      </c>
      <c r="F9" s="22" t="s">
        <v>150</v>
      </c>
      <c r="G9" s="22" t="s">
        <v>151</v>
      </c>
      <c r="H9" s="22" t="n">
        <v>3</v>
      </c>
      <c r="I9" s="22" t="s">
        <v>152</v>
      </c>
      <c r="J9" s="22"/>
    </row>
    <row r="10" customFormat="false" ht="31.5" hidden="false" customHeight="true" outlineLevel="0" collapsed="false">
      <c r="A10" s="22" t="s">
        <v>167</v>
      </c>
      <c r="B10" s="22" t="s">
        <v>15</v>
      </c>
      <c r="C10" s="22" t="s">
        <v>165</v>
      </c>
      <c r="D10" s="22" t="s">
        <v>168</v>
      </c>
      <c r="E10" s="22" t="s">
        <v>165</v>
      </c>
      <c r="F10" s="22" t="s">
        <v>150</v>
      </c>
      <c r="G10" s="22" t="s">
        <v>151</v>
      </c>
      <c r="H10" s="22" t="n">
        <v>2</v>
      </c>
      <c r="I10" s="22" t="s">
        <v>152</v>
      </c>
      <c r="J10" s="22" t="s">
        <v>169</v>
      </c>
    </row>
    <row r="11" customFormat="false" ht="31.5" hidden="false" customHeight="true" outlineLevel="0" collapsed="false">
      <c r="A11" s="22" t="s">
        <v>170</v>
      </c>
      <c r="B11" s="22" t="s">
        <v>15</v>
      </c>
      <c r="C11" s="22" t="s">
        <v>165</v>
      </c>
      <c r="D11" s="22" t="s">
        <v>171</v>
      </c>
      <c r="E11" s="22" t="s">
        <v>165</v>
      </c>
      <c r="F11" s="22" t="s">
        <v>150</v>
      </c>
      <c r="G11" s="22" t="s">
        <v>151</v>
      </c>
      <c r="H11" s="22" t="n">
        <v>4</v>
      </c>
      <c r="I11" s="22" t="s">
        <v>152</v>
      </c>
      <c r="J11" s="22" t="s">
        <v>172</v>
      </c>
    </row>
    <row r="12" customFormat="false" ht="31.5" hidden="false" customHeight="true" outlineLevel="0" collapsed="false">
      <c r="A12" s="22" t="s">
        <v>173</v>
      </c>
      <c r="B12" s="22" t="s">
        <v>15</v>
      </c>
      <c r="C12" s="22" t="s">
        <v>165</v>
      </c>
      <c r="D12" s="22" t="s">
        <v>174</v>
      </c>
      <c r="E12" s="22" t="s">
        <v>165</v>
      </c>
      <c r="F12" s="22" t="s">
        <v>150</v>
      </c>
      <c r="G12" s="22" t="s">
        <v>151</v>
      </c>
      <c r="H12" s="22" t="n">
        <v>1</v>
      </c>
      <c r="I12" s="22" t="s">
        <v>152</v>
      </c>
      <c r="J12" s="22" t="s">
        <v>175</v>
      </c>
    </row>
    <row r="13" customFormat="false" ht="31.5" hidden="false" customHeight="true" outlineLevel="0" collapsed="false">
      <c r="A13" s="22" t="s">
        <v>176</v>
      </c>
      <c r="B13" s="22" t="s">
        <v>15</v>
      </c>
      <c r="C13" s="22" t="s">
        <v>11</v>
      </c>
      <c r="D13" s="22" t="s">
        <v>177</v>
      </c>
      <c r="E13" s="22" t="s">
        <v>178</v>
      </c>
      <c r="F13" s="22" t="s">
        <v>151</v>
      </c>
      <c r="G13" s="22" t="s">
        <v>150</v>
      </c>
      <c r="H13" s="22" t="n">
        <v>2</v>
      </c>
      <c r="I13" s="22" t="s">
        <v>152</v>
      </c>
      <c r="J13" s="22" t="s">
        <v>179</v>
      </c>
    </row>
    <row r="14" customFormat="false" ht="31.5" hidden="false" customHeight="true" outlineLevel="0" collapsed="false">
      <c r="A14" s="22" t="s">
        <v>180</v>
      </c>
      <c r="B14" s="22" t="s">
        <v>15</v>
      </c>
      <c r="C14" s="22" t="s">
        <v>11</v>
      </c>
      <c r="D14" s="22" t="s">
        <v>181</v>
      </c>
      <c r="E14" s="22" t="s">
        <v>178</v>
      </c>
      <c r="F14" s="22" t="s">
        <v>151</v>
      </c>
      <c r="G14" s="22" t="s">
        <v>150</v>
      </c>
      <c r="H14" s="22" t="n">
        <v>4</v>
      </c>
      <c r="I14" s="22" t="s">
        <v>152</v>
      </c>
      <c r="J14" s="22" t="s">
        <v>182</v>
      </c>
    </row>
    <row r="15" customFormat="false" ht="31.5" hidden="false" customHeight="true" outlineLevel="0" collapsed="false">
      <c r="A15" s="22" t="s">
        <v>183</v>
      </c>
      <c r="B15" s="22" t="s">
        <v>15</v>
      </c>
      <c r="C15" s="22" t="s">
        <v>11</v>
      </c>
      <c r="D15" s="22" t="s">
        <v>184</v>
      </c>
      <c r="E15" s="22" t="s">
        <v>178</v>
      </c>
      <c r="F15" s="22" t="s">
        <v>151</v>
      </c>
      <c r="G15" s="22" t="s">
        <v>150</v>
      </c>
      <c r="H15" s="22" t="n">
        <v>3</v>
      </c>
      <c r="I15" s="22" t="s">
        <v>152</v>
      </c>
      <c r="J15" s="22" t="s">
        <v>185</v>
      </c>
    </row>
    <row r="16" customFormat="false" ht="31.5" hidden="false" customHeight="true" outlineLevel="0" collapsed="false">
      <c r="A16" s="22" t="s">
        <v>186</v>
      </c>
      <c r="B16" s="22" t="s">
        <v>15</v>
      </c>
      <c r="C16" s="22" t="s">
        <v>11</v>
      </c>
      <c r="D16" s="22" t="s">
        <v>187</v>
      </c>
      <c r="E16" s="22" t="s">
        <v>188</v>
      </c>
      <c r="F16" s="22" t="s">
        <v>150</v>
      </c>
      <c r="G16" s="22" t="s">
        <v>151</v>
      </c>
      <c r="H16" s="22" t="n">
        <v>3</v>
      </c>
      <c r="I16" s="22" t="s">
        <v>152</v>
      </c>
      <c r="J16" s="22" t="s">
        <v>189</v>
      </c>
    </row>
    <row r="17" customFormat="false" ht="31.5" hidden="false" customHeight="true" outlineLevel="0" collapsed="false">
      <c r="A17" s="22" t="s">
        <v>190</v>
      </c>
      <c r="B17" s="22" t="s">
        <v>15</v>
      </c>
      <c r="C17" s="22" t="s">
        <v>11</v>
      </c>
      <c r="D17" s="22" t="s">
        <v>191</v>
      </c>
      <c r="E17" s="22" t="s">
        <v>192</v>
      </c>
      <c r="F17" s="22" t="s">
        <v>150</v>
      </c>
      <c r="G17" s="22" t="s">
        <v>151</v>
      </c>
      <c r="H17" s="22" t="n">
        <v>2</v>
      </c>
      <c r="I17" s="22" t="s">
        <v>152</v>
      </c>
      <c r="J17" s="22" t="s">
        <v>193</v>
      </c>
    </row>
    <row r="18" customFormat="false" ht="31.5" hidden="false" customHeight="true" outlineLevel="0" collapsed="false">
      <c r="A18" s="22" t="s">
        <v>194</v>
      </c>
      <c r="B18" s="22" t="s">
        <v>15</v>
      </c>
      <c r="C18" s="22" t="s">
        <v>18</v>
      </c>
      <c r="D18" s="22" t="s">
        <v>195</v>
      </c>
      <c r="E18" s="22" t="s">
        <v>178</v>
      </c>
      <c r="F18" s="22" t="s">
        <v>151</v>
      </c>
      <c r="G18" s="22" t="s">
        <v>150</v>
      </c>
      <c r="H18" s="22" t="n">
        <v>4</v>
      </c>
      <c r="I18" s="22" t="s">
        <v>152</v>
      </c>
      <c r="J18" s="22" t="s">
        <v>196</v>
      </c>
    </row>
    <row r="19" customFormat="false" ht="31.5" hidden="false" customHeight="true" outlineLevel="0" collapsed="false">
      <c r="A19" s="26" t="s">
        <v>197</v>
      </c>
      <c r="B19" s="26" t="s">
        <v>15</v>
      </c>
      <c r="C19" s="26" t="s">
        <v>18</v>
      </c>
      <c r="D19" s="26" t="s">
        <v>198</v>
      </c>
      <c r="E19" s="26" t="s">
        <v>199</v>
      </c>
      <c r="F19" s="26" t="s">
        <v>151</v>
      </c>
      <c r="G19" s="26" t="s">
        <v>150</v>
      </c>
      <c r="H19" s="26" t="n">
        <v>3</v>
      </c>
      <c r="I19" s="26" t="s">
        <v>152</v>
      </c>
      <c r="J19" s="26" t="s">
        <v>200</v>
      </c>
    </row>
    <row r="20" customFormat="false" ht="31.5" hidden="false" customHeight="true" outlineLevel="0" collapsed="false">
      <c r="A20" s="22" t="s">
        <v>201</v>
      </c>
      <c r="B20" s="22" t="s">
        <v>15</v>
      </c>
      <c r="C20" s="22" t="s">
        <v>18</v>
      </c>
      <c r="D20" s="22" t="s">
        <v>202</v>
      </c>
      <c r="E20" s="22" t="s">
        <v>178</v>
      </c>
      <c r="F20" s="22" t="s">
        <v>150</v>
      </c>
      <c r="G20" s="22" t="s">
        <v>151</v>
      </c>
      <c r="H20" s="22" t="n">
        <v>4</v>
      </c>
      <c r="I20" s="22" t="s">
        <v>152</v>
      </c>
      <c r="J20" s="22" t="s">
        <v>203</v>
      </c>
    </row>
    <row r="21" customFormat="false" ht="31.5" hidden="false" customHeight="true" outlineLevel="0" collapsed="false">
      <c r="A21" s="22" t="s">
        <v>204</v>
      </c>
      <c r="B21" s="22" t="s">
        <v>15</v>
      </c>
      <c r="C21" s="22" t="s">
        <v>18</v>
      </c>
      <c r="D21" s="22" t="s">
        <v>205</v>
      </c>
      <c r="E21" s="22" t="s">
        <v>188</v>
      </c>
      <c r="F21" s="22" t="s">
        <v>150</v>
      </c>
      <c r="G21" s="22" t="s">
        <v>151</v>
      </c>
      <c r="H21" s="22" t="n">
        <v>4</v>
      </c>
      <c r="I21" s="22" t="s">
        <v>152</v>
      </c>
      <c r="J21" s="22" t="s">
        <v>18</v>
      </c>
    </row>
    <row r="22" customFormat="false" ht="31.5" hidden="false" customHeight="true" outlineLevel="0" collapsed="false">
      <c r="A22" s="26" t="s">
        <v>206</v>
      </c>
      <c r="B22" s="26" t="s">
        <v>15</v>
      </c>
      <c r="C22" s="26" t="s">
        <v>22</v>
      </c>
      <c r="D22" s="26" t="s">
        <v>207</v>
      </c>
      <c r="E22" s="26" t="s">
        <v>199</v>
      </c>
      <c r="F22" s="26" t="s">
        <v>151</v>
      </c>
      <c r="G22" s="26" t="s">
        <v>150</v>
      </c>
      <c r="H22" s="26" t="n">
        <v>4</v>
      </c>
      <c r="I22" s="26" t="s">
        <v>152</v>
      </c>
      <c r="J22" s="26" t="s">
        <v>208</v>
      </c>
    </row>
    <row r="23" customFormat="false" ht="31.5" hidden="false" customHeight="true" outlineLevel="0" collapsed="false">
      <c r="A23" s="26" t="s">
        <v>209</v>
      </c>
      <c r="B23" s="26" t="s">
        <v>15</v>
      </c>
      <c r="C23" s="26" t="s">
        <v>22</v>
      </c>
      <c r="D23" s="26" t="s">
        <v>210</v>
      </c>
      <c r="E23" s="26" t="s">
        <v>199</v>
      </c>
      <c r="F23" s="26" t="s">
        <v>151</v>
      </c>
      <c r="G23" s="26" t="s">
        <v>150</v>
      </c>
      <c r="H23" s="26" t="n">
        <v>3</v>
      </c>
      <c r="I23" s="26" t="s">
        <v>152</v>
      </c>
      <c r="J23" s="26" t="s">
        <v>211</v>
      </c>
    </row>
    <row r="24" customFormat="false" ht="31.5" hidden="false" customHeight="true" outlineLevel="0" collapsed="false">
      <c r="A24" s="22" t="s">
        <v>212</v>
      </c>
      <c r="B24" s="22" t="s">
        <v>15</v>
      </c>
      <c r="C24" s="22" t="s">
        <v>22</v>
      </c>
      <c r="D24" s="22" t="s">
        <v>213</v>
      </c>
      <c r="E24" s="22" t="s">
        <v>188</v>
      </c>
      <c r="F24" s="22" t="s">
        <v>150</v>
      </c>
      <c r="G24" s="22" t="s">
        <v>151</v>
      </c>
      <c r="H24" s="22" t="n">
        <v>4</v>
      </c>
      <c r="I24" s="22" t="s">
        <v>152</v>
      </c>
      <c r="J24" s="22" t="s">
        <v>211</v>
      </c>
    </row>
    <row r="25" customFormat="false" ht="31.5" hidden="false" customHeight="true" outlineLevel="0" collapsed="false">
      <c r="A25" s="22" t="s">
        <v>214</v>
      </c>
      <c r="B25" s="22" t="s">
        <v>15</v>
      </c>
      <c r="C25" s="22" t="s">
        <v>22</v>
      </c>
      <c r="D25" s="22" t="s">
        <v>215</v>
      </c>
      <c r="E25" s="22" t="s">
        <v>192</v>
      </c>
      <c r="F25" s="22" t="s">
        <v>150</v>
      </c>
      <c r="G25" s="22" t="s">
        <v>151</v>
      </c>
      <c r="H25" s="22" t="n">
        <v>2</v>
      </c>
      <c r="I25" s="22" t="s">
        <v>152</v>
      </c>
      <c r="J25" s="22" t="s">
        <v>193</v>
      </c>
    </row>
    <row r="26" customFormat="false" ht="31.5" hidden="false" customHeight="true" outlineLevel="0" collapsed="false">
      <c r="A26" s="26" t="s">
        <v>216</v>
      </c>
      <c r="B26" s="26" t="s">
        <v>15</v>
      </c>
      <c r="C26" s="26" t="s">
        <v>26</v>
      </c>
      <c r="D26" s="26" t="s">
        <v>217</v>
      </c>
      <c r="E26" s="26" t="s">
        <v>199</v>
      </c>
      <c r="F26" s="26" t="s">
        <v>151</v>
      </c>
      <c r="G26" s="26" t="s">
        <v>150</v>
      </c>
      <c r="H26" s="26" t="n">
        <v>5</v>
      </c>
      <c r="I26" s="26" t="s">
        <v>152</v>
      </c>
      <c r="J26" s="26" t="s">
        <v>218</v>
      </c>
    </row>
    <row r="27" customFormat="false" ht="31.5" hidden="false" customHeight="true" outlineLevel="0" collapsed="false">
      <c r="A27" s="22" t="s">
        <v>219</v>
      </c>
      <c r="B27" s="22" t="s">
        <v>15</v>
      </c>
      <c r="C27" s="22" t="s">
        <v>26</v>
      </c>
      <c r="D27" s="22" t="s">
        <v>220</v>
      </c>
      <c r="E27" s="22" t="s">
        <v>147</v>
      </c>
      <c r="F27" s="22" t="s">
        <v>151</v>
      </c>
      <c r="G27" s="22" t="s">
        <v>150</v>
      </c>
      <c r="H27" s="22" t="n">
        <v>1</v>
      </c>
      <c r="I27" s="22" t="s">
        <v>152</v>
      </c>
      <c r="J27" s="22" t="s">
        <v>221</v>
      </c>
    </row>
    <row r="28" customFormat="false" ht="31.5" hidden="false" customHeight="true" outlineLevel="0" collapsed="false">
      <c r="A28" s="22" t="s">
        <v>222</v>
      </c>
      <c r="B28" s="22" t="s">
        <v>15</v>
      </c>
      <c r="C28" s="22" t="s">
        <v>26</v>
      </c>
      <c r="D28" s="22" t="s">
        <v>223</v>
      </c>
      <c r="E28" s="22" t="s">
        <v>188</v>
      </c>
      <c r="F28" s="22" t="s">
        <v>150</v>
      </c>
      <c r="G28" s="22" t="s">
        <v>151</v>
      </c>
      <c r="H28" s="22" t="n">
        <v>2</v>
      </c>
      <c r="I28" s="22" t="s">
        <v>152</v>
      </c>
      <c r="J28" s="22" t="s">
        <v>26</v>
      </c>
    </row>
    <row r="29" customFormat="false" ht="31.5" hidden="false" customHeight="true" outlineLevel="0" collapsed="false">
      <c r="A29" s="22" t="s">
        <v>224</v>
      </c>
      <c r="B29" s="22" t="s">
        <v>15</v>
      </c>
      <c r="C29" s="22" t="s">
        <v>147</v>
      </c>
      <c r="D29" s="22" t="s">
        <v>225</v>
      </c>
      <c r="E29" s="22" t="s">
        <v>226</v>
      </c>
      <c r="F29" s="22" t="s">
        <v>150</v>
      </c>
      <c r="G29" s="22" t="s">
        <v>151</v>
      </c>
      <c r="H29" s="22" t="n">
        <v>1</v>
      </c>
      <c r="I29" s="22" t="s">
        <v>152</v>
      </c>
      <c r="J29" s="22" t="s">
        <v>153</v>
      </c>
    </row>
    <row r="30" customFormat="false" ht="31.5" hidden="false" customHeight="true" outlineLevel="0" collapsed="false">
      <c r="A30" s="22" t="s">
        <v>227</v>
      </c>
      <c r="B30" s="22" t="s">
        <v>15</v>
      </c>
      <c r="C30" s="22" t="s">
        <v>147</v>
      </c>
      <c r="D30" s="22" t="s">
        <v>228</v>
      </c>
      <c r="E30" s="22" t="s">
        <v>226</v>
      </c>
      <c r="F30" s="22" t="s">
        <v>151</v>
      </c>
      <c r="G30" s="22" t="s">
        <v>150</v>
      </c>
      <c r="H30" s="22" t="n">
        <v>1</v>
      </c>
      <c r="I30" s="22" t="s">
        <v>152</v>
      </c>
      <c r="J30" s="22" t="s">
        <v>153</v>
      </c>
    </row>
    <row r="31" customFormat="false" ht="31.5" hidden="false" customHeight="true" outlineLevel="0" collapsed="false">
      <c r="A31" s="22" t="s">
        <v>229</v>
      </c>
      <c r="B31" s="22" t="s">
        <v>33</v>
      </c>
      <c r="C31" s="22" t="s">
        <v>147</v>
      </c>
      <c r="D31" s="22" t="s">
        <v>230</v>
      </c>
      <c r="E31" s="22" t="s">
        <v>149</v>
      </c>
      <c r="F31" s="22" t="s">
        <v>150</v>
      </c>
      <c r="G31" s="22" t="s">
        <v>151</v>
      </c>
      <c r="H31" s="22" t="n">
        <v>1</v>
      </c>
      <c r="I31" s="22" t="s">
        <v>152</v>
      </c>
      <c r="J31" s="22" t="s">
        <v>153</v>
      </c>
    </row>
    <row r="32" customFormat="false" ht="31.5" hidden="false" customHeight="true" outlineLevel="0" collapsed="false">
      <c r="A32" s="22" t="s">
        <v>231</v>
      </c>
      <c r="B32" s="22" t="s">
        <v>15</v>
      </c>
      <c r="C32" s="22" t="s">
        <v>165</v>
      </c>
      <c r="D32" s="22" t="s">
        <v>232</v>
      </c>
      <c r="E32" s="22" t="s">
        <v>165</v>
      </c>
      <c r="F32" s="22" t="s">
        <v>150</v>
      </c>
      <c r="G32" s="22" t="s">
        <v>151</v>
      </c>
      <c r="H32" s="22" t="n">
        <v>4</v>
      </c>
      <c r="I32" s="22" t="s">
        <v>152</v>
      </c>
      <c r="J32" s="22" t="s">
        <v>169</v>
      </c>
    </row>
    <row r="33" customFormat="false" ht="31.5" hidden="false" customHeight="true" outlineLevel="0" collapsed="false">
      <c r="A33" s="22" t="s">
        <v>233</v>
      </c>
      <c r="B33" s="22" t="s">
        <v>15</v>
      </c>
      <c r="C33" s="22" t="s">
        <v>165</v>
      </c>
      <c r="D33" s="22" t="s">
        <v>234</v>
      </c>
      <c r="E33" s="22" t="s">
        <v>165</v>
      </c>
      <c r="F33" s="22" t="s">
        <v>150</v>
      </c>
      <c r="G33" s="22" t="s">
        <v>151</v>
      </c>
      <c r="H33" s="22" t="n">
        <v>2</v>
      </c>
      <c r="I33" s="22" t="s">
        <v>152</v>
      </c>
      <c r="J33" s="22" t="s">
        <v>193</v>
      </c>
    </row>
    <row r="34" customFormat="false" ht="31.5" hidden="false" customHeight="true" outlineLevel="0" collapsed="false">
      <c r="A34" s="22" t="s">
        <v>235</v>
      </c>
      <c r="B34" s="22" t="s">
        <v>33</v>
      </c>
      <c r="C34" s="22" t="s">
        <v>165</v>
      </c>
      <c r="D34" s="22" t="s">
        <v>236</v>
      </c>
      <c r="E34" s="22" t="s">
        <v>165</v>
      </c>
      <c r="F34" s="22" t="s">
        <v>150</v>
      </c>
      <c r="G34" s="22" t="s">
        <v>151</v>
      </c>
      <c r="H34" s="22" t="n">
        <v>2</v>
      </c>
      <c r="I34" s="22" t="s">
        <v>152</v>
      </c>
      <c r="J34" s="22" t="s">
        <v>237</v>
      </c>
    </row>
    <row r="35" customFormat="false" ht="31.5" hidden="false" customHeight="true" outlineLevel="0" collapsed="false">
      <c r="A35" s="26" t="s">
        <v>238</v>
      </c>
      <c r="B35" s="26" t="s">
        <v>33</v>
      </c>
      <c r="C35" s="26" t="s">
        <v>30</v>
      </c>
      <c r="D35" s="26" t="s">
        <v>239</v>
      </c>
      <c r="E35" s="26" t="s">
        <v>199</v>
      </c>
      <c r="F35" s="26" t="s">
        <v>151</v>
      </c>
      <c r="G35" s="26" t="s">
        <v>150</v>
      </c>
      <c r="H35" s="26" t="n">
        <v>5</v>
      </c>
      <c r="I35" s="26" t="s">
        <v>152</v>
      </c>
      <c r="J35" s="26" t="s">
        <v>240</v>
      </c>
    </row>
    <row r="36" customFormat="false" ht="31.5" hidden="false" customHeight="true" outlineLevel="0" collapsed="false">
      <c r="A36" s="22" t="s">
        <v>241</v>
      </c>
      <c r="B36" s="22" t="s">
        <v>33</v>
      </c>
      <c r="C36" s="22" t="s">
        <v>30</v>
      </c>
      <c r="D36" s="22" t="s">
        <v>242</v>
      </c>
      <c r="E36" s="22" t="s">
        <v>188</v>
      </c>
      <c r="F36" s="22" t="s">
        <v>150</v>
      </c>
      <c r="G36" s="22" t="s">
        <v>151</v>
      </c>
      <c r="H36" s="22" t="n">
        <v>3</v>
      </c>
      <c r="I36" s="22" t="s">
        <v>152</v>
      </c>
      <c r="J36" s="22" t="s">
        <v>30</v>
      </c>
    </row>
    <row r="37" customFormat="false" ht="31.5" hidden="false" customHeight="true" outlineLevel="0" collapsed="false">
      <c r="A37" s="22" t="s">
        <v>243</v>
      </c>
      <c r="B37" s="22" t="s">
        <v>33</v>
      </c>
      <c r="C37" s="22" t="s">
        <v>30</v>
      </c>
      <c r="D37" s="22" t="s">
        <v>244</v>
      </c>
      <c r="E37" s="22" t="s">
        <v>192</v>
      </c>
      <c r="F37" s="22" t="s">
        <v>150</v>
      </c>
      <c r="G37" s="22" t="s">
        <v>151</v>
      </c>
      <c r="H37" s="22" t="n">
        <v>1</v>
      </c>
      <c r="I37" s="22" t="s">
        <v>152</v>
      </c>
      <c r="J37" s="22" t="s">
        <v>193</v>
      </c>
    </row>
    <row r="38" customFormat="false" ht="31.5" hidden="false" customHeight="true" outlineLevel="0" collapsed="false">
      <c r="A38" s="22" t="s">
        <v>245</v>
      </c>
      <c r="B38" s="22" t="s">
        <v>33</v>
      </c>
      <c r="C38" s="22" t="s">
        <v>35</v>
      </c>
      <c r="D38" s="22" t="s">
        <v>246</v>
      </c>
      <c r="E38" s="22" t="s">
        <v>178</v>
      </c>
      <c r="F38" s="22" t="s">
        <v>151</v>
      </c>
      <c r="G38" s="22" t="s">
        <v>150</v>
      </c>
      <c r="H38" s="22" t="n">
        <v>3</v>
      </c>
      <c r="I38" s="22" t="s">
        <v>152</v>
      </c>
      <c r="J38" s="22" t="s">
        <v>247</v>
      </c>
    </row>
    <row r="39" customFormat="false" ht="31.5" hidden="false" customHeight="true" outlineLevel="0" collapsed="false">
      <c r="A39" s="22" t="s">
        <v>248</v>
      </c>
      <c r="B39" s="22" t="s">
        <v>33</v>
      </c>
      <c r="C39" s="22" t="s">
        <v>35</v>
      </c>
      <c r="D39" s="22" t="s">
        <v>249</v>
      </c>
      <c r="E39" s="22" t="s">
        <v>188</v>
      </c>
      <c r="F39" s="22" t="s">
        <v>150</v>
      </c>
      <c r="G39" s="22" t="s">
        <v>151</v>
      </c>
      <c r="H39" s="22" t="n">
        <v>3</v>
      </c>
      <c r="I39" s="22" t="s">
        <v>152</v>
      </c>
      <c r="J39" s="22" t="s">
        <v>35</v>
      </c>
    </row>
    <row r="40" customFormat="false" ht="31.5" hidden="false" customHeight="true" outlineLevel="0" collapsed="false">
      <c r="A40" s="22" t="s">
        <v>250</v>
      </c>
      <c r="B40" s="22" t="s">
        <v>33</v>
      </c>
      <c r="C40" s="22" t="s">
        <v>39</v>
      </c>
      <c r="D40" s="22" t="s">
        <v>251</v>
      </c>
      <c r="E40" s="22" t="s">
        <v>178</v>
      </c>
      <c r="F40" s="22" t="s">
        <v>151</v>
      </c>
      <c r="G40" s="22" t="s">
        <v>150</v>
      </c>
      <c r="H40" s="22" t="n">
        <v>3</v>
      </c>
      <c r="I40" s="22" t="s">
        <v>152</v>
      </c>
      <c r="J40" s="22" t="s">
        <v>252</v>
      </c>
    </row>
    <row r="41" customFormat="false" ht="31.5" hidden="false" customHeight="true" outlineLevel="0" collapsed="false">
      <c r="A41" s="22" t="s">
        <v>253</v>
      </c>
      <c r="B41" s="22" t="s">
        <v>33</v>
      </c>
      <c r="C41" s="22" t="s">
        <v>39</v>
      </c>
      <c r="D41" s="22" t="s">
        <v>254</v>
      </c>
      <c r="E41" s="22" t="s">
        <v>188</v>
      </c>
      <c r="F41" s="22" t="s">
        <v>150</v>
      </c>
      <c r="G41" s="22" t="s">
        <v>151</v>
      </c>
      <c r="H41" s="22" t="n">
        <v>3</v>
      </c>
      <c r="I41" s="22" t="s">
        <v>152</v>
      </c>
      <c r="J41" s="22" t="s">
        <v>39</v>
      </c>
    </row>
    <row r="42" customFormat="false" ht="31.5" hidden="false" customHeight="true" outlineLevel="0" collapsed="false">
      <c r="A42" s="26" t="s">
        <v>255</v>
      </c>
      <c r="B42" s="26" t="s">
        <v>33</v>
      </c>
      <c r="C42" s="26" t="s">
        <v>43</v>
      </c>
      <c r="D42" s="26" t="s">
        <v>256</v>
      </c>
      <c r="E42" s="26" t="s">
        <v>199</v>
      </c>
      <c r="F42" s="26" t="s">
        <v>151</v>
      </c>
      <c r="G42" s="26" t="s">
        <v>150</v>
      </c>
      <c r="H42" s="26" t="n">
        <v>5</v>
      </c>
      <c r="I42" s="26" t="s">
        <v>152</v>
      </c>
      <c r="J42" s="26" t="s">
        <v>257</v>
      </c>
    </row>
    <row r="43" customFormat="false" ht="31.5" hidden="false" customHeight="true" outlineLevel="0" collapsed="false">
      <c r="A43" s="22" t="s">
        <v>258</v>
      </c>
      <c r="B43" s="22" t="s">
        <v>33</v>
      </c>
      <c r="C43" s="22" t="s">
        <v>43</v>
      </c>
      <c r="D43" s="22" t="s">
        <v>259</v>
      </c>
      <c r="E43" s="22" t="s">
        <v>188</v>
      </c>
      <c r="F43" s="22" t="s">
        <v>150</v>
      </c>
      <c r="G43" s="22" t="s">
        <v>151</v>
      </c>
      <c r="H43" s="22" t="n">
        <v>3</v>
      </c>
      <c r="I43" s="22" t="s">
        <v>152</v>
      </c>
      <c r="J43" s="22" t="s">
        <v>43</v>
      </c>
    </row>
    <row r="44" customFormat="false" ht="31.5" hidden="false" customHeight="true" outlineLevel="0" collapsed="false">
      <c r="A44" s="22" t="s">
        <v>260</v>
      </c>
      <c r="B44" s="22" t="s">
        <v>33</v>
      </c>
      <c r="C44" s="22" t="s">
        <v>48</v>
      </c>
      <c r="D44" s="22" t="s">
        <v>261</v>
      </c>
      <c r="E44" s="22" t="s">
        <v>262</v>
      </c>
      <c r="F44" s="22" t="s">
        <v>150</v>
      </c>
      <c r="G44" s="22" t="s">
        <v>151</v>
      </c>
      <c r="H44" s="22" t="n">
        <v>4</v>
      </c>
      <c r="I44" s="22" t="s">
        <v>152</v>
      </c>
      <c r="J44" s="22" t="s">
        <v>263</v>
      </c>
    </row>
    <row r="45" customFormat="false" ht="31.5" hidden="false" customHeight="true" outlineLevel="0" collapsed="false">
      <c r="A45" s="22" t="s">
        <v>264</v>
      </c>
      <c r="B45" s="22" t="s">
        <v>33</v>
      </c>
      <c r="C45" s="22" t="s">
        <v>147</v>
      </c>
      <c r="D45" s="22" t="s">
        <v>225</v>
      </c>
      <c r="E45" s="22" t="s">
        <v>226</v>
      </c>
      <c r="F45" s="22" t="s">
        <v>150</v>
      </c>
      <c r="G45" s="22" t="s">
        <v>151</v>
      </c>
      <c r="H45" s="22" t="n">
        <v>1</v>
      </c>
      <c r="I45" s="22" t="s">
        <v>152</v>
      </c>
      <c r="J45" s="22" t="s">
        <v>153</v>
      </c>
    </row>
    <row r="46" customFormat="false" ht="31.5" hidden="false" customHeight="true" outlineLevel="0" collapsed="false">
      <c r="A46" s="22" t="s">
        <v>265</v>
      </c>
      <c r="B46" s="22" t="s">
        <v>33</v>
      </c>
      <c r="C46" s="22" t="s">
        <v>147</v>
      </c>
      <c r="D46" s="22" t="s">
        <v>228</v>
      </c>
      <c r="E46" s="22" t="s">
        <v>226</v>
      </c>
      <c r="F46" s="22" t="s">
        <v>151</v>
      </c>
      <c r="G46" s="22" t="s">
        <v>150</v>
      </c>
      <c r="H46" s="22" t="n">
        <v>1</v>
      </c>
      <c r="I46" s="22" t="s">
        <v>152</v>
      </c>
      <c r="J46" s="22" t="s">
        <v>153</v>
      </c>
    </row>
    <row r="47" customFormat="false" ht="31.5" hidden="false" customHeight="true" outlineLevel="0" collapsed="false">
      <c r="A47" s="22" t="s">
        <v>266</v>
      </c>
      <c r="B47" s="22" t="s">
        <v>55</v>
      </c>
      <c r="C47" s="22" t="s">
        <v>52</v>
      </c>
      <c r="D47" s="22" t="s">
        <v>267</v>
      </c>
      <c r="E47" s="22" t="s">
        <v>178</v>
      </c>
      <c r="F47" s="22" t="s">
        <v>151</v>
      </c>
      <c r="G47" s="22" t="s">
        <v>150</v>
      </c>
      <c r="H47" s="22" t="n">
        <v>3</v>
      </c>
      <c r="I47" s="22" t="s">
        <v>152</v>
      </c>
      <c r="J47" s="22" t="s">
        <v>268</v>
      </c>
    </row>
    <row r="48" customFormat="false" ht="31.5" hidden="false" customHeight="true" outlineLevel="0" collapsed="false">
      <c r="A48" s="22" t="s">
        <v>269</v>
      </c>
      <c r="B48" s="22" t="s">
        <v>55</v>
      </c>
      <c r="C48" s="22" t="s">
        <v>52</v>
      </c>
      <c r="D48" s="22" t="s">
        <v>270</v>
      </c>
      <c r="E48" s="22" t="s">
        <v>188</v>
      </c>
      <c r="F48" s="22" t="s">
        <v>150</v>
      </c>
      <c r="G48" s="22" t="s">
        <v>151</v>
      </c>
      <c r="H48" s="22" t="n">
        <v>3</v>
      </c>
      <c r="I48" s="22" t="s">
        <v>152</v>
      </c>
      <c r="J48" s="22" t="s">
        <v>52</v>
      </c>
    </row>
    <row r="49" customFormat="false" ht="31.5" hidden="false" customHeight="true" outlineLevel="0" collapsed="false">
      <c r="A49" s="22" t="s">
        <v>271</v>
      </c>
      <c r="B49" s="22" t="s">
        <v>55</v>
      </c>
      <c r="C49" s="22" t="s">
        <v>57</v>
      </c>
      <c r="D49" s="22" t="s">
        <v>272</v>
      </c>
      <c r="E49" s="22" t="s">
        <v>178</v>
      </c>
      <c r="F49" s="22" t="s">
        <v>151</v>
      </c>
      <c r="G49" s="22" t="s">
        <v>150</v>
      </c>
      <c r="H49" s="22" t="n">
        <v>5</v>
      </c>
      <c r="I49" s="22" t="s">
        <v>152</v>
      </c>
      <c r="J49" s="22" t="s">
        <v>273</v>
      </c>
    </row>
    <row r="50" customFormat="false" ht="31.5" hidden="false" customHeight="true" outlineLevel="0" collapsed="false">
      <c r="A50" s="22" t="s">
        <v>274</v>
      </c>
      <c r="B50" s="22" t="s">
        <v>55</v>
      </c>
      <c r="C50" s="22" t="s">
        <v>57</v>
      </c>
      <c r="D50" s="22" t="s">
        <v>275</v>
      </c>
      <c r="E50" s="22" t="s">
        <v>178</v>
      </c>
      <c r="F50" s="22" t="s">
        <v>151</v>
      </c>
      <c r="G50" s="22" t="s">
        <v>150</v>
      </c>
      <c r="H50" s="22" t="n">
        <v>4</v>
      </c>
      <c r="I50" s="22" t="s">
        <v>152</v>
      </c>
      <c r="J50" s="22" t="s">
        <v>276</v>
      </c>
    </row>
    <row r="51" customFormat="false" ht="31.5" hidden="false" customHeight="true" outlineLevel="0" collapsed="false">
      <c r="A51" s="22" t="s">
        <v>277</v>
      </c>
      <c r="B51" s="22" t="s">
        <v>55</v>
      </c>
      <c r="C51" s="22" t="s">
        <v>57</v>
      </c>
      <c r="D51" s="22" t="s">
        <v>278</v>
      </c>
      <c r="E51" s="22" t="s">
        <v>188</v>
      </c>
      <c r="F51" s="22" t="s">
        <v>150</v>
      </c>
      <c r="G51" s="22" t="s">
        <v>151</v>
      </c>
      <c r="H51" s="22" t="n">
        <v>2</v>
      </c>
      <c r="I51" s="22" t="s">
        <v>152</v>
      </c>
      <c r="J51" s="22" t="s">
        <v>57</v>
      </c>
    </row>
    <row r="52" customFormat="false" ht="31.5" hidden="false" customHeight="true" outlineLevel="0" collapsed="false">
      <c r="A52" s="22" t="s">
        <v>279</v>
      </c>
      <c r="B52" s="22" t="s">
        <v>55</v>
      </c>
      <c r="C52" s="22" t="s">
        <v>61</v>
      </c>
      <c r="D52" s="22" t="s">
        <v>280</v>
      </c>
      <c r="E52" s="22" t="s">
        <v>178</v>
      </c>
      <c r="F52" s="22" t="s">
        <v>151</v>
      </c>
      <c r="G52" s="22" t="s">
        <v>150</v>
      </c>
      <c r="H52" s="22" t="n">
        <v>3</v>
      </c>
      <c r="I52" s="22" t="s">
        <v>152</v>
      </c>
      <c r="J52" s="22" t="s">
        <v>281</v>
      </c>
    </row>
    <row r="53" customFormat="false" ht="31.5" hidden="false" customHeight="true" outlineLevel="0" collapsed="false">
      <c r="A53" s="22" t="s">
        <v>282</v>
      </c>
      <c r="B53" s="22" t="s">
        <v>55</v>
      </c>
      <c r="C53" s="22" t="s">
        <v>61</v>
      </c>
      <c r="D53" s="22" t="s">
        <v>283</v>
      </c>
      <c r="E53" s="22" t="s">
        <v>188</v>
      </c>
      <c r="F53" s="22" t="s">
        <v>150</v>
      </c>
      <c r="G53" s="22" t="s">
        <v>151</v>
      </c>
      <c r="H53" s="22" t="n">
        <v>2</v>
      </c>
      <c r="I53" s="22" t="s">
        <v>152</v>
      </c>
      <c r="J53" s="22" t="s">
        <v>61</v>
      </c>
    </row>
    <row r="54" customFormat="false" ht="31.5" hidden="false" customHeight="true" outlineLevel="0" collapsed="false">
      <c r="A54" s="22" t="s">
        <v>284</v>
      </c>
      <c r="B54" s="22" t="s">
        <v>55</v>
      </c>
      <c r="C54" s="22" t="s">
        <v>65</v>
      </c>
      <c r="D54" s="22" t="s">
        <v>285</v>
      </c>
      <c r="E54" s="22" t="s">
        <v>178</v>
      </c>
      <c r="F54" s="22" t="s">
        <v>151</v>
      </c>
      <c r="G54" s="22" t="s">
        <v>150</v>
      </c>
      <c r="H54" s="22" t="n">
        <v>2</v>
      </c>
      <c r="I54" s="22" t="s">
        <v>152</v>
      </c>
      <c r="J54" s="22" t="s">
        <v>286</v>
      </c>
    </row>
    <row r="55" customFormat="false" ht="31.5" hidden="false" customHeight="true" outlineLevel="0" collapsed="false">
      <c r="A55" s="22" t="s">
        <v>287</v>
      </c>
      <c r="B55" s="22" t="s">
        <v>55</v>
      </c>
      <c r="C55" s="22" t="s">
        <v>65</v>
      </c>
      <c r="D55" s="22" t="s">
        <v>288</v>
      </c>
      <c r="E55" s="22" t="s">
        <v>188</v>
      </c>
      <c r="F55" s="22" t="s">
        <v>150</v>
      </c>
      <c r="G55" s="22" t="s">
        <v>151</v>
      </c>
      <c r="H55" s="22" t="n">
        <v>3</v>
      </c>
      <c r="I55" s="22" t="s">
        <v>152</v>
      </c>
      <c r="J55" s="22" t="s">
        <v>65</v>
      </c>
    </row>
    <row r="56" customFormat="false" ht="31.5" hidden="false" customHeight="true" outlineLevel="0" collapsed="false">
      <c r="A56" s="22" t="s">
        <v>289</v>
      </c>
      <c r="B56" s="22" t="s">
        <v>55</v>
      </c>
      <c r="C56" s="22" t="s">
        <v>147</v>
      </c>
      <c r="D56" s="22" t="s">
        <v>290</v>
      </c>
      <c r="E56" s="22" t="s">
        <v>192</v>
      </c>
      <c r="F56" s="22" t="s">
        <v>150</v>
      </c>
      <c r="G56" s="22" t="s">
        <v>151</v>
      </c>
      <c r="H56" s="22" t="n">
        <v>3</v>
      </c>
      <c r="I56" s="22" t="s">
        <v>152</v>
      </c>
      <c r="J56" s="22" t="s">
        <v>291</v>
      </c>
    </row>
    <row r="57" customFormat="false" ht="31.5" hidden="false" customHeight="true" outlineLevel="0" collapsed="false">
      <c r="A57" s="22" t="s">
        <v>292</v>
      </c>
      <c r="B57" s="22" t="s">
        <v>55</v>
      </c>
      <c r="C57" s="22" t="s">
        <v>147</v>
      </c>
      <c r="D57" s="22" t="s">
        <v>293</v>
      </c>
      <c r="E57" s="22" t="s">
        <v>192</v>
      </c>
      <c r="F57" s="22" t="s">
        <v>150</v>
      </c>
      <c r="G57" s="22" t="s">
        <v>151</v>
      </c>
      <c r="H57" s="22" t="n">
        <v>3</v>
      </c>
      <c r="I57" s="22" t="s">
        <v>152</v>
      </c>
      <c r="J57" s="22" t="s">
        <v>193</v>
      </c>
    </row>
    <row r="58" customFormat="false" ht="31.5" hidden="false" customHeight="true" outlineLevel="0" collapsed="false">
      <c r="A58" s="22" t="s">
        <v>294</v>
      </c>
      <c r="B58" s="22" t="s">
        <v>55</v>
      </c>
      <c r="C58" s="22" t="s">
        <v>147</v>
      </c>
      <c r="D58" s="22" t="s">
        <v>295</v>
      </c>
      <c r="E58" s="22" t="s">
        <v>192</v>
      </c>
      <c r="F58" s="22" t="s">
        <v>150</v>
      </c>
      <c r="G58" s="22" t="s">
        <v>151</v>
      </c>
      <c r="H58" s="22" t="n">
        <v>3</v>
      </c>
      <c r="I58" s="22" t="s">
        <v>152</v>
      </c>
      <c r="J58" s="22" t="s">
        <v>296</v>
      </c>
    </row>
    <row r="59" customFormat="false" ht="31.5" hidden="false" customHeight="true" outlineLevel="0" collapsed="false">
      <c r="A59" s="22" t="s">
        <v>297</v>
      </c>
      <c r="B59" s="22" t="s">
        <v>55</v>
      </c>
      <c r="C59" s="22" t="s">
        <v>147</v>
      </c>
      <c r="D59" s="22" t="s">
        <v>225</v>
      </c>
      <c r="E59" s="22" t="s">
        <v>226</v>
      </c>
      <c r="F59" s="22" t="s">
        <v>150</v>
      </c>
      <c r="G59" s="22" t="s">
        <v>151</v>
      </c>
      <c r="H59" s="22" t="n">
        <v>1</v>
      </c>
      <c r="I59" s="22" t="s">
        <v>152</v>
      </c>
      <c r="J59" s="22" t="s">
        <v>153</v>
      </c>
    </row>
    <row r="60" customFormat="false" ht="31.5" hidden="false" customHeight="true" outlineLevel="0" collapsed="false">
      <c r="A60" s="22" t="s">
        <v>298</v>
      </c>
      <c r="B60" s="22" t="s">
        <v>55</v>
      </c>
      <c r="C60" s="22" t="s">
        <v>147</v>
      </c>
      <c r="D60" s="22" t="s">
        <v>228</v>
      </c>
      <c r="E60" s="22" t="s">
        <v>226</v>
      </c>
      <c r="F60" s="22" t="s">
        <v>151</v>
      </c>
      <c r="G60" s="22" t="s">
        <v>150</v>
      </c>
      <c r="H60" s="22" t="n">
        <v>1</v>
      </c>
      <c r="I60" s="22" t="s">
        <v>152</v>
      </c>
      <c r="J60" s="22" t="s">
        <v>153</v>
      </c>
    </row>
    <row r="61" customFormat="false" ht="31.5" hidden="false" customHeight="true" outlineLevel="0" collapsed="false">
      <c r="A61" s="22" t="s">
        <v>299</v>
      </c>
      <c r="B61" s="22" t="s">
        <v>72</v>
      </c>
      <c r="C61" s="22" t="s">
        <v>69</v>
      </c>
      <c r="D61" s="22" t="s">
        <v>300</v>
      </c>
      <c r="E61" s="22" t="s">
        <v>178</v>
      </c>
      <c r="F61" s="22" t="s">
        <v>151</v>
      </c>
      <c r="G61" s="22" t="s">
        <v>150</v>
      </c>
      <c r="H61" s="22" t="n">
        <v>4</v>
      </c>
      <c r="I61" s="22" t="s">
        <v>152</v>
      </c>
      <c r="J61" s="22" t="s">
        <v>301</v>
      </c>
    </row>
    <row r="62" customFormat="false" ht="31.5" hidden="false" customHeight="true" outlineLevel="0" collapsed="false">
      <c r="A62" s="22" t="s">
        <v>302</v>
      </c>
      <c r="B62" s="22" t="s">
        <v>72</v>
      </c>
      <c r="C62" s="22" t="s">
        <v>69</v>
      </c>
      <c r="D62" s="22" t="s">
        <v>303</v>
      </c>
      <c r="E62" s="22" t="s">
        <v>178</v>
      </c>
      <c r="F62" s="22" t="s">
        <v>151</v>
      </c>
      <c r="G62" s="22" t="s">
        <v>150</v>
      </c>
      <c r="H62" s="22" t="n">
        <v>3</v>
      </c>
      <c r="I62" s="22" t="s">
        <v>152</v>
      </c>
      <c r="J62" s="22" t="s">
        <v>304</v>
      </c>
    </row>
    <row r="63" customFormat="false" ht="31.5" hidden="false" customHeight="true" outlineLevel="0" collapsed="false">
      <c r="A63" s="22" t="s">
        <v>305</v>
      </c>
      <c r="B63" s="22" t="s">
        <v>72</v>
      </c>
      <c r="C63" s="22" t="s">
        <v>69</v>
      </c>
      <c r="D63" s="22" t="s">
        <v>306</v>
      </c>
      <c r="E63" s="22" t="s">
        <v>188</v>
      </c>
      <c r="F63" s="22" t="s">
        <v>150</v>
      </c>
      <c r="G63" s="22" t="s">
        <v>151</v>
      </c>
      <c r="H63" s="22" t="n">
        <v>3</v>
      </c>
      <c r="I63" s="22" t="s">
        <v>152</v>
      </c>
      <c r="J63" s="22" t="s">
        <v>69</v>
      </c>
    </row>
    <row r="64" customFormat="false" ht="31.5" hidden="false" customHeight="true" outlineLevel="0" collapsed="false">
      <c r="A64" s="22" t="s">
        <v>307</v>
      </c>
      <c r="B64" s="22" t="s">
        <v>72</v>
      </c>
      <c r="C64" s="22" t="s">
        <v>74</v>
      </c>
      <c r="D64" s="22" t="s">
        <v>308</v>
      </c>
      <c r="E64" s="22" t="s">
        <v>178</v>
      </c>
      <c r="F64" s="22" t="s">
        <v>151</v>
      </c>
      <c r="G64" s="22" t="s">
        <v>150</v>
      </c>
      <c r="H64" s="22" t="n">
        <v>3</v>
      </c>
      <c r="I64" s="22" t="s">
        <v>152</v>
      </c>
      <c r="J64" s="22" t="s">
        <v>309</v>
      </c>
    </row>
    <row r="65" customFormat="false" ht="31.5" hidden="false" customHeight="true" outlineLevel="0" collapsed="false">
      <c r="A65" s="22" t="s">
        <v>310</v>
      </c>
      <c r="B65" s="22" t="s">
        <v>72</v>
      </c>
      <c r="C65" s="22" t="s">
        <v>74</v>
      </c>
      <c r="D65" s="22" t="s">
        <v>311</v>
      </c>
      <c r="E65" s="22" t="s">
        <v>262</v>
      </c>
      <c r="F65" s="22" t="s">
        <v>150</v>
      </c>
      <c r="G65" s="22" t="s">
        <v>151</v>
      </c>
      <c r="H65" s="22" t="n">
        <v>3</v>
      </c>
      <c r="I65" s="22" t="s">
        <v>152</v>
      </c>
      <c r="J65" s="22" t="s">
        <v>312</v>
      </c>
    </row>
    <row r="66" customFormat="false" ht="31.5" hidden="false" customHeight="true" outlineLevel="0" collapsed="false">
      <c r="A66" s="22" t="s">
        <v>313</v>
      </c>
      <c r="B66" s="22" t="s">
        <v>72</v>
      </c>
      <c r="C66" s="22" t="s">
        <v>79</v>
      </c>
      <c r="D66" s="22" t="s">
        <v>314</v>
      </c>
      <c r="E66" s="22" t="s">
        <v>262</v>
      </c>
      <c r="F66" s="22" t="s">
        <v>150</v>
      </c>
      <c r="G66" s="22" t="s">
        <v>151</v>
      </c>
      <c r="H66" s="22" t="n">
        <v>2</v>
      </c>
      <c r="I66" s="22" t="s">
        <v>152</v>
      </c>
      <c r="J66" s="22" t="s">
        <v>315</v>
      </c>
    </row>
    <row r="67" customFormat="false" ht="31.5" hidden="false" customHeight="true" outlineLevel="0" collapsed="false">
      <c r="A67" s="22" t="s">
        <v>316</v>
      </c>
      <c r="B67" s="22" t="s">
        <v>72</v>
      </c>
      <c r="C67" s="22" t="s">
        <v>147</v>
      </c>
      <c r="D67" s="22" t="s">
        <v>317</v>
      </c>
      <c r="E67" s="22" t="s">
        <v>192</v>
      </c>
      <c r="F67" s="22" t="s">
        <v>150</v>
      </c>
      <c r="G67" s="22" t="s">
        <v>151</v>
      </c>
      <c r="H67" s="22" t="n">
        <v>2</v>
      </c>
      <c r="I67" s="22" t="s">
        <v>152</v>
      </c>
      <c r="J67" s="22" t="s">
        <v>318</v>
      </c>
    </row>
    <row r="68" customFormat="false" ht="31.5" hidden="false" customHeight="true" outlineLevel="0" collapsed="false">
      <c r="A68" s="22" t="s">
        <v>319</v>
      </c>
      <c r="B68" s="22" t="s">
        <v>72</v>
      </c>
      <c r="C68" s="22" t="s">
        <v>147</v>
      </c>
      <c r="D68" s="22" t="s">
        <v>320</v>
      </c>
      <c r="E68" s="22" t="s">
        <v>321</v>
      </c>
      <c r="F68" s="22" t="s">
        <v>151</v>
      </c>
      <c r="G68" s="22" t="s">
        <v>150</v>
      </c>
      <c r="H68" s="22" t="n">
        <v>2</v>
      </c>
      <c r="I68" s="22" t="s">
        <v>152</v>
      </c>
      <c r="J68" s="22" t="s">
        <v>322</v>
      </c>
    </row>
    <row r="69" customFormat="false" ht="31.5" hidden="false" customHeight="true" outlineLevel="0" collapsed="false">
      <c r="A69" s="22" t="s">
        <v>323</v>
      </c>
      <c r="B69" s="22" t="s">
        <v>72</v>
      </c>
      <c r="C69" s="22" t="s">
        <v>147</v>
      </c>
      <c r="D69" s="22" t="s">
        <v>324</v>
      </c>
      <c r="E69" s="22" t="s">
        <v>325</v>
      </c>
      <c r="F69" s="22" t="s">
        <v>150</v>
      </c>
      <c r="G69" s="22" t="s">
        <v>151</v>
      </c>
      <c r="H69" s="22" t="n">
        <v>4</v>
      </c>
      <c r="I69" s="22" t="s">
        <v>152</v>
      </c>
      <c r="J69" s="22" t="s">
        <v>157</v>
      </c>
    </row>
    <row r="70" customFormat="false" ht="31.5" hidden="false" customHeight="true" outlineLevel="0" collapsed="false">
      <c r="A70" s="22" t="s">
        <v>326</v>
      </c>
      <c r="B70" s="22" t="s">
        <v>72</v>
      </c>
      <c r="C70" s="22" t="s">
        <v>147</v>
      </c>
      <c r="D70" s="22" t="s">
        <v>327</v>
      </c>
      <c r="E70" s="22" t="s">
        <v>325</v>
      </c>
      <c r="F70" s="22" t="s">
        <v>151</v>
      </c>
      <c r="G70" s="22" t="s">
        <v>150</v>
      </c>
      <c r="H70" s="22" t="n">
        <v>3</v>
      </c>
      <c r="I70" s="22" t="s">
        <v>152</v>
      </c>
      <c r="J70" s="22" t="s">
        <v>157</v>
      </c>
    </row>
    <row r="71" customFormat="false" ht="31.5" hidden="false" customHeight="true" outlineLevel="0" collapsed="false">
      <c r="A71" s="22" t="s">
        <v>328</v>
      </c>
      <c r="B71" s="22" t="s">
        <v>72</v>
      </c>
      <c r="C71" s="22" t="s">
        <v>147</v>
      </c>
      <c r="D71" s="22" t="s">
        <v>329</v>
      </c>
      <c r="E71" s="22" t="s">
        <v>226</v>
      </c>
      <c r="F71" s="22" t="s">
        <v>150</v>
      </c>
      <c r="G71" s="22" t="s">
        <v>151</v>
      </c>
      <c r="H71" s="22" t="n">
        <v>1</v>
      </c>
      <c r="I71" s="22" t="s">
        <v>152</v>
      </c>
      <c r="J71" s="22" t="s">
        <v>153</v>
      </c>
    </row>
    <row r="72" customFormat="false" ht="31.5" hidden="false" customHeight="true" outlineLevel="0" collapsed="false">
      <c r="A72" s="22" t="s">
        <v>330</v>
      </c>
      <c r="B72" s="22" t="s">
        <v>72</v>
      </c>
      <c r="C72" s="22" t="s">
        <v>147</v>
      </c>
      <c r="D72" s="22" t="s">
        <v>331</v>
      </c>
      <c r="E72" s="22" t="s">
        <v>226</v>
      </c>
      <c r="F72" s="22" t="s">
        <v>151</v>
      </c>
      <c r="G72" s="22" t="s">
        <v>150</v>
      </c>
      <c r="H72" s="22" t="n">
        <v>1</v>
      </c>
      <c r="I72" s="22" t="s">
        <v>152</v>
      </c>
      <c r="J72" s="22" t="s">
        <v>153</v>
      </c>
    </row>
    <row r="73" customFormat="false" ht="31.5" hidden="false" customHeight="true" outlineLevel="0" collapsed="false">
      <c r="A73" s="22" t="s">
        <v>332</v>
      </c>
      <c r="B73" s="22" t="s">
        <v>72</v>
      </c>
      <c r="C73" s="22" t="s">
        <v>147</v>
      </c>
      <c r="D73" s="22" t="s">
        <v>333</v>
      </c>
      <c r="E73" s="22" t="s">
        <v>165</v>
      </c>
      <c r="F73" s="22" t="s">
        <v>151</v>
      </c>
      <c r="G73" s="22" t="s">
        <v>150</v>
      </c>
      <c r="H73" s="22" t="n">
        <v>1</v>
      </c>
      <c r="I73" s="22" t="s">
        <v>152</v>
      </c>
      <c r="J73" s="22" t="s">
        <v>334</v>
      </c>
    </row>
  </sheetData>
  <autoFilter ref="A4:J73"/>
  <mergeCells count="1">
    <mergeCell ref="A2:J2"/>
  </mergeCells>
  <dataValidations count="1">
    <dataValidation allowBlank="true" errorStyle="stop" operator="between" showDropDown="false" showErrorMessage="false" showInputMessage="false" sqref="I5:I73" type="list">
      <formula1>"Por hacer,En proceso,En revisión,Hecho"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0"/>
    <col collapsed="false" customWidth="true" hidden="false" outlineLevel="0" max="2" min="2" style="0" width="45"/>
  </cols>
  <sheetData>
    <row r="1" customFormat="false" ht="17.35" hidden="false" customHeight="false" outlineLevel="0" collapsed="false">
      <c r="A1" s="18" t="s">
        <v>335</v>
      </c>
    </row>
    <row r="3" customFormat="false" ht="15" hidden="false" customHeight="false" outlineLevel="0" collapsed="false">
      <c r="A3" s="21" t="s">
        <v>336</v>
      </c>
      <c r="B3" s="21" t="s">
        <v>337</v>
      </c>
    </row>
    <row r="4" customFormat="false" ht="27.75" hidden="false" customHeight="true" outlineLevel="0" collapsed="false">
      <c r="A4" s="22" t="s">
        <v>338</v>
      </c>
      <c r="B4" s="22" t="s">
        <v>339</v>
      </c>
    </row>
    <row r="5" customFormat="false" ht="27.75" hidden="false" customHeight="true" outlineLevel="0" collapsed="false">
      <c r="A5" s="22" t="s">
        <v>340</v>
      </c>
      <c r="B5" s="22" t="s">
        <v>341</v>
      </c>
    </row>
    <row r="6" customFormat="false" ht="27.75" hidden="false" customHeight="true" outlineLevel="0" collapsed="false">
      <c r="A6" s="22" t="s">
        <v>342</v>
      </c>
      <c r="B6" s="22" t="s">
        <v>343</v>
      </c>
    </row>
    <row r="7" customFormat="false" ht="27.75" hidden="false" customHeight="true" outlineLevel="0" collapsed="false">
      <c r="A7" s="22" t="s">
        <v>344</v>
      </c>
      <c r="B7" s="22" t="s">
        <v>345</v>
      </c>
    </row>
    <row r="8" customFormat="false" ht="27.75" hidden="false" customHeight="true" outlineLevel="0" collapsed="false">
      <c r="A8" s="22" t="s">
        <v>346</v>
      </c>
      <c r="B8" s="22" t="s">
        <v>347</v>
      </c>
    </row>
    <row r="9" customFormat="false" ht="27.75" hidden="false" customHeight="true" outlineLevel="0" collapsed="false">
      <c r="A9" s="22" t="s">
        <v>348</v>
      </c>
      <c r="B9" s="22" t="s">
        <v>349</v>
      </c>
    </row>
    <row r="11" customFormat="false" ht="15" hidden="false" customHeight="false" outlineLevel="0" collapsed="false">
      <c r="A11" s="24" t="s">
        <v>350</v>
      </c>
      <c r="B11" s="24" t="s">
        <v>337</v>
      </c>
    </row>
    <row r="12" customFormat="false" ht="27.75" hidden="false" customHeight="true" outlineLevel="0" collapsed="false">
      <c r="A12" s="22" t="s">
        <v>351</v>
      </c>
      <c r="B12" s="22" t="s">
        <v>352</v>
      </c>
    </row>
    <row r="13" customFormat="false" ht="27.75" hidden="false" customHeight="true" outlineLevel="0" collapsed="false">
      <c r="A13" s="22" t="s">
        <v>353</v>
      </c>
      <c r="B13" s="22" t="s">
        <v>354</v>
      </c>
    </row>
    <row r="14" customFormat="false" ht="27.75" hidden="false" customHeight="true" outlineLevel="0" collapsed="false">
      <c r="A14" s="22" t="s">
        <v>355</v>
      </c>
      <c r="B14" s="22" t="s">
        <v>356</v>
      </c>
    </row>
    <row r="15" customFormat="false" ht="27.75" hidden="false" customHeight="true" outlineLevel="0" collapsed="false">
      <c r="A15" s="22" t="s">
        <v>357</v>
      </c>
      <c r="B15" s="22" t="s">
        <v>358</v>
      </c>
    </row>
    <row r="16" customFormat="false" ht="27.75" hidden="false" customHeight="true" outlineLevel="0" collapsed="false">
      <c r="A16" s="22" t="s">
        <v>359</v>
      </c>
      <c r="B16" s="22" t="s">
        <v>360</v>
      </c>
    </row>
    <row r="17" customFormat="false" ht="27.75" hidden="false" customHeight="true" outlineLevel="0" collapsed="false">
      <c r="A17" s="22" t="s">
        <v>361</v>
      </c>
      <c r="B17" s="22" t="s">
        <v>362</v>
      </c>
    </row>
    <row r="18" customFormat="false" ht="27.75" hidden="false" customHeight="true" outlineLevel="0" collapsed="false">
      <c r="A18" s="22" t="s">
        <v>363</v>
      </c>
      <c r="B18" s="22" t="s">
        <v>364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5"/>
    <col collapsed="false" customWidth="true" hidden="false" outlineLevel="0" max="4" min="4" style="0" width="90"/>
    <col collapsed="false" customWidth="true" hidden="false" outlineLevel="0" max="5" min="5" style="0" width="22"/>
    <col collapsed="false" customWidth="true" hidden="false" outlineLevel="0" max="6" min="6" style="0" width="18"/>
  </cols>
  <sheetData>
    <row r="1" customFormat="false" ht="17.35" hidden="false" customHeight="false" outlineLevel="0" collapsed="false">
      <c r="A1" s="18" t="s">
        <v>365</v>
      </c>
    </row>
    <row r="2" customFormat="false" ht="15" hidden="false" customHeight="false" outlineLevel="0" collapsed="false">
      <c r="A2" s="1" t="s">
        <v>366</v>
      </c>
    </row>
    <row r="4" customFormat="false" ht="15" hidden="false" customHeight="false" outlineLevel="0" collapsed="false">
      <c r="A4" s="21" t="s">
        <v>138</v>
      </c>
      <c r="B4" s="21" t="s">
        <v>3</v>
      </c>
      <c r="C4" s="21" t="s">
        <v>367</v>
      </c>
      <c r="D4" s="21" t="s">
        <v>368</v>
      </c>
      <c r="E4" s="21" t="s">
        <v>369</v>
      </c>
      <c r="F4" s="21" t="s">
        <v>370</v>
      </c>
    </row>
    <row r="5" customFormat="false" ht="45" hidden="false" customHeight="true" outlineLevel="0" collapsed="false">
      <c r="A5" s="22" t="s">
        <v>11</v>
      </c>
      <c r="B5" s="22" t="s">
        <v>13</v>
      </c>
      <c r="C5" s="22" t="n">
        <v>1</v>
      </c>
      <c r="D5" s="22" t="s">
        <v>371</v>
      </c>
      <c r="E5" s="22" t="s">
        <v>372</v>
      </c>
      <c r="F5" s="22" t="s">
        <v>373</v>
      </c>
    </row>
    <row r="6" customFormat="false" ht="45" hidden="false" customHeight="true" outlineLevel="0" collapsed="false">
      <c r="A6" s="22" t="s">
        <v>11</v>
      </c>
      <c r="B6" s="22" t="s">
        <v>13</v>
      </c>
      <c r="C6" s="22" t="n">
        <v>2</v>
      </c>
      <c r="D6" s="22" t="s">
        <v>374</v>
      </c>
      <c r="E6" s="22" t="s">
        <v>375</v>
      </c>
      <c r="F6" s="22" t="s">
        <v>185</v>
      </c>
    </row>
    <row r="7" customFormat="false" ht="45" hidden="false" customHeight="true" outlineLevel="0" collapsed="false">
      <c r="A7" s="22" t="s">
        <v>11</v>
      </c>
      <c r="B7" s="22" t="s">
        <v>13</v>
      </c>
      <c r="C7" s="22" t="n">
        <v>3</v>
      </c>
      <c r="D7" s="22" t="s">
        <v>376</v>
      </c>
      <c r="E7" s="22" t="s">
        <v>375</v>
      </c>
      <c r="F7" s="22" t="s">
        <v>373</v>
      </c>
    </row>
    <row r="8" customFormat="false" ht="45" hidden="false" customHeight="true" outlineLevel="0" collapsed="false">
      <c r="A8" s="22" t="s">
        <v>11</v>
      </c>
      <c r="B8" s="22" t="s">
        <v>13</v>
      </c>
      <c r="C8" s="22" t="n">
        <v>4</v>
      </c>
      <c r="D8" s="22" t="s">
        <v>377</v>
      </c>
      <c r="E8" s="22" t="s">
        <v>375</v>
      </c>
      <c r="F8" s="22" t="s">
        <v>373</v>
      </c>
    </row>
    <row r="9" customFormat="false" ht="45" hidden="false" customHeight="true" outlineLevel="0" collapsed="false">
      <c r="A9" s="22" t="s">
        <v>18</v>
      </c>
      <c r="B9" s="22" t="s">
        <v>20</v>
      </c>
      <c r="C9" s="22" t="n">
        <v>1</v>
      </c>
      <c r="D9" s="22" t="s">
        <v>378</v>
      </c>
      <c r="E9" s="22" t="s">
        <v>372</v>
      </c>
      <c r="F9" s="22"/>
    </row>
    <row r="10" customFormat="false" ht="45" hidden="false" customHeight="true" outlineLevel="0" collapsed="false">
      <c r="A10" s="22" t="s">
        <v>18</v>
      </c>
      <c r="B10" s="22" t="s">
        <v>20</v>
      </c>
      <c r="C10" s="22" t="n">
        <v>2</v>
      </c>
      <c r="D10" s="22" t="s">
        <v>379</v>
      </c>
      <c r="E10" s="22" t="s">
        <v>375</v>
      </c>
      <c r="F10" s="22" t="s">
        <v>373</v>
      </c>
    </row>
    <row r="11" customFormat="false" ht="45" hidden="false" customHeight="true" outlineLevel="0" collapsed="false">
      <c r="A11" s="22" t="s">
        <v>18</v>
      </c>
      <c r="B11" s="22" t="s">
        <v>20</v>
      </c>
      <c r="C11" s="22" t="n">
        <v>3</v>
      </c>
      <c r="D11" s="22" t="s">
        <v>380</v>
      </c>
      <c r="E11" s="22" t="s">
        <v>381</v>
      </c>
      <c r="F11" s="22"/>
    </row>
    <row r="12" customFormat="false" ht="45" hidden="false" customHeight="true" outlineLevel="0" collapsed="false">
      <c r="A12" s="22" t="s">
        <v>18</v>
      </c>
      <c r="B12" s="22" t="s">
        <v>20</v>
      </c>
      <c r="C12" s="22" t="n">
        <v>4</v>
      </c>
      <c r="D12" s="22" t="s">
        <v>382</v>
      </c>
      <c r="E12" s="22" t="s">
        <v>375</v>
      </c>
      <c r="F12" s="22" t="s">
        <v>373</v>
      </c>
    </row>
    <row r="13" customFormat="false" ht="45" hidden="false" customHeight="true" outlineLevel="0" collapsed="false">
      <c r="A13" s="22" t="s">
        <v>18</v>
      </c>
      <c r="B13" s="22" t="s">
        <v>20</v>
      </c>
      <c r="C13" s="22" t="n">
        <v>5</v>
      </c>
      <c r="D13" s="22" t="s">
        <v>383</v>
      </c>
      <c r="E13" s="22" t="s">
        <v>375</v>
      </c>
      <c r="F13" s="22"/>
    </row>
    <row r="14" customFormat="false" ht="45" hidden="false" customHeight="true" outlineLevel="0" collapsed="false">
      <c r="A14" s="22" t="s">
        <v>18</v>
      </c>
      <c r="B14" s="22" t="s">
        <v>20</v>
      </c>
      <c r="C14" s="22" t="n">
        <v>6</v>
      </c>
      <c r="D14" s="22" t="s">
        <v>384</v>
      </c>
      <c r="E14" s="22" t="s">
        <v>381</v>
      </c>
      <c r="F14" s="22" t="s">
        <v>385</v>
      </c>
    </row>
    <row r="15" customFormat="false" ht="45" hidden="false" customHeight="true" outlineLevel="0" collapsed="false">
      <c r="A15" s="22" t="s">
        <v>18</v>
      </c>
      <c r="B15" s="22" t="s">
        <v>20</v>
      </c>
      <c r="C15" s="22" t="n">
        <v>7</v>
      </c>
      <c r="D15" s="22" t="s">
        <v>386</v>
      </c>
      <c r="E15" s="22" t="s">
        <v>375</v>
      </c>
      <c r="F15" s="22" t="s">
        <v>373</v>
      </c>
    </row>
    <row r="16" customFormat="false" ht="45" hidden="false" customHeight="true" outlineLevel="0" collapsed="false">
      <c r="A16" s="22" t="s">
        <v>22</v>
      </c>
      <c r="B16" s="22" t="s">
        <v>24</v>
      </c>
      <c r="C16" s="22" t="n">
        <v>1</v>
      </c>
      <c r="D16" s="22" t="s">
        <v>387</v>
      </c>
      <c r="E16" s="22" t="s">
        <v>372</v>
      </c>
      <c r="F16" s="22" t="s">
        <v>193</v>
      </c>
    </row>
    <row r="17" customFormat="false" ht="45" hidden="false" customHeight="true" outlineLevel="0" collapsed="false">
      <c r="A17" s="22" t="s">
        <v>22</v>
      </c>
      <c r="B17" s="22" t="s">
        <v>24</v>
      </c>
      <c r="C17" s="22" t="n">
        <v>2</v>
      </c>
      <c r="D17" s="26" t="s">
        <v>388</v>
      </c>
      <c r="E17" s="22" t="s">
        <v>381</v>
      </c>
      <c r="F17" s="22" t="s">
        <v>389</v>
      </c>
    </row>
    <row r="18" customFormat="false" ht="45" hidden="false" customHeight="true" outlineLevel="0" collapsed="false">
      <c r="A18" s="22" t="s">
        <v>22</v>
      </c>
      <c r="B18" s="22" t="s">
        <v>24</v>
      </c>
      <c r="C18" s="22" t="n">
        <v>3</v>
      </c>
      <c r="D18" s="22" t="s">
        <v>390</v>
      </c>
      <c r="E18" s="22" t="s">
        <v>375</v>
      </c>
      <c r="F18" s="22" t="s">
        <v>391</v>
      </c>
    </row>
    <row r="19" customFormat="false" ht="45" hidden="false" customHeight="true" outlineLevel="0" collapsed="false">
      <c r="A19" s="22" t="s">
        <v>22</v>
      </c>
      <c r="B19" s="22" t="s">
        <v>24</v>
      </c>
      <c r="C19" s="22" t="n">
        <v>4</v>
      </c>
      <c r="D19" s="22" t="s">
        <v>392</v>
      </c>
      <c r="E19" s="22" t="s">
        <v>393</v>
      </c>
      <c r="F19" s="22" t="s">
        <v>394</v>
      </c>
    </row>
    <row r="20" customFormat="false" ht="45" hidden="false" customHeight="true" outlineLevel="0" collapsed="false">
      <c r="A20" s="22" t="s">
        <v>26</v>
      </c>
      <c r="B20" s="22" t="s">
        <v>28</v>
      </c>
      <c r="C20" s="22" t="n">
        <v>1</v>
      </c>
      <c r="D20" s="22" t="s">
        <v>395</v>
      </c>
      <c r="E20" s="22" t="s">
        <v>396</v>
      </c>
      <c r="F20" s="22" t="s">
        <v>397</v>
      </c>
    </row>
    <row r="21" customFormat="false" ht="45" hidden="false" customHeight="true" outlineLevel="0" collapsed="false">
      <c r="A21" s="22" t="s">
        <v>26</v>
      </c>
      <c r="B21" s="22" t="s">
        <v>28</v>
      </c>
      <c r="C21" s="22" t="n">
        <v>2</v>
      </c>
      <c r="D21" s="22" t="s">
        <v>398</v>
      </c>
      <c r="E21" s="22" t="s">
        <v>396</v>
      </c>
      <c r="F21" s="22" t="s">
        <v>399</v>
      </c>
    </row>
    <row r="22" customFormat="false" ht="45" hidden="false" customHeight="true" outlineLevel="0" collapsed="false">
      <c r="A22" s="22" t="s">
        <v>26</v>
      </c>
      <c r="B22" s="22" t="s">
        <v>28</v>
      </c>
      <c r="C22" s="22" t="n">
        <v>3</v>
      </c>
      <c r="D22" s="22" t="s">
        <v>400</v>
      </c>
      <c r="E22" s="22" t="s">
        <v>396</v>
      </c>
      <c r="F22" s="22" t="s">
        <v>401</v>
      </c>
    </row>
    <row r="23" customFormat="false" ht="45" hidden="false" customHeight="true" outlineLevel="0" collapsed="false">
      <c r="A23" s="22" t="s">
        <v>26</v>
      </c>
      <c r="B23" s="22" t="s">
        <v>28</v>
      </c>
      <c r="C23" s="22" t="n">
        <v>4</v>
      </c>
      <c r="D23" s="26" t="s">
        <v>402</v>
      </c>
      <c r="E23" s="22" t="s">
        <v>396</v>
      </c>
      <c r="F23" s="22" t="s">
        <v>401</v>
      </c>
    </row>
    <row r="24" customFormat="false" ht="45" hidden="false" customHeight="true" outlineLevel="0" collapsed="false">
      <c r="A24" s="22" t="s">
        <v>26</v>
      </c>
      <c r="B24" s="22" t="s">
        <v>28</v>
      </c>
      <c r="C24" s="22" t="n">
        <v>5</v>
      </c>
      <c r="D24" s="22" t="s">
        <v>403</v>
      </c>
      <c r="E24" s="22" t="s">
        <v>396</v>
      </c>
      <c r="F24" s="22" t="s">
        <v>404</v>
      </c>
    </row>
    <row r="25" customFormat="false" ht="45" hidden="false" customHeight="true" outlineLevel="0" collapsed="false">
      <c r="A25" s="22" t="s">
        <v>26</v>
      </c>
      <c r="B25" s="22" t="s">
        <v>28</v>
      </c>
      <c r="C25" s="22" t="n">
        <v>6</v>
      </c>
      <c r="D25" s="26" t="s">
        <v>405</v>
      </c>
      <c r="E25" s="22" t="s">
        <v>396</v>
      </c>
      <c r="F25" s="22" t="s">
        <v>163</v>
      </c>
    </row>
    <row r="26" customFormat="false" ht="45" hidden="false" customHeight="true" outlineLevel="0" collapsed="false">
      <c r="A26" s="22" t="s">
        <v>30</v>
      </c>
      <c r="B26" s="22" t="s">
        <v>32</v>
      </c>
      <c r="C26" s="22" t="n">
        <v>1</v>
      </c>
      <c r="D26" s="22" t="s">
        <v>406</v>
      </c>
      <c r="E26" s="22" t="s">
        <v>375</v>
      </c>
      <c r="F26" s="22" t="s">
        <v>373</v>
      </c>
    </row>
    <row r="27" customFormat="false" ht="45" hidden="false" customHeight="true" outlineLevel="0" collapsed="false">
      <c r="A27" s="22" t="s">
        <v>30</v>
      </c>
      <c r="B27" s="22" t="s">
        <v>32</v>
      </c>
      <c r="C27" s="22" t="n">
        <v>2</v>
      </c>
      <c r="D27" s="22" t="s">
        <v>407</v>
      </c>
      <c r="E27" s="22" t="s">
        <v>375</v>
      </c>
      <c r="F27" s="22" t="s">
        <v>373</v>
      </c>
    </row>
    <row r="28" customFormat="false" ht="45" hidden="false" customHeight="true" outlineLevel="0" collapsed="false">
      <c r="A28" s="22" t="s">
        <v>30</v>
      </c>
      <c r="B28" s="22" t="s">
        <v>32</v>
      </c>
      <c r="C28" s="22" t="n">
        <v>3</v>
      </c>
      <c r="D28" s="22" t="s">
        <v>408</v>
      </c>
      <c r="E28" s="22" t="s">
        <v>375</v>
      </c>
      <c r="F28" s="22" t="s">
        <v>389</v>
      </c>
    </row>
    <row r="29" customFormat="false" ht="45" hidden="false" customHeight="true" outlineLevel="0" collapsed="false">
      <c r="A29" s="22" t="s">
        <v>35</v>
      </c>
      <c r="B29" s="22" t="s">
        <v>37</v>
      </c>
      <c r="C29" s="22" t="n">
        <v>1</v>
      </c>
      <c r="D29" s="22" t="s">
        <v>409</v>
      </c>
      <c r="E29" s="22" t="s">
        <v>372</v>
      </c>
      <c r="F29" s="22" t="s">
        <v>193</v>
      </c>
    </row>
    <row r="30" customFormat="false" ht="45" hidden="false" customHeight="true" outlineLevel="0" collapsed="false">
      <c r="A30" s="22" t="s">
        <v>35</v>
      </c>
      <c r="B30" s="22" t="s">
        <v>37</v>
      </c>
      <c r="C30" s="22" t="n">
        <v>2</v>
      </c>
      <c r="D30" s="22" t="s">
        <v>410</v>
      </c>
      <c r="E30" s="22" t="s">
        <v>375</v>
      </c>
      <c r="F30" s="22" t="s">
        <v>185</v>
      </c>
    </row>
    <row r="31" customFormat="false" ht="45" hidden="false" customHeight="true" outlineLevel="0" collapsed="false">
      <c r="A31" s="22" t="s">
        <v>39</v>
      </c>
      <c r="B31" s="22" t="s">
        <v>41</v>
      </c>
      <c r="C31" s="22" t="n">
        <v>1</v>
      </c>
      <c r="D31" s="22" t="s">
        <v>411</v>
      </c>
      <c r="E31" s="22" t="s">
        <v>372</v>
      </c>
      <c r="F31" s="22"/>
    </row>
    <row r="32" customFormat="false" ht="45" hidden="false" customHeight="true" outlineLevel="0" collapsed="false">
      <c r="A32" s="22" t="s">
        <v>39</v>
      </c>
      <c r="B32" s="22" t="s">
        <v>41</v>
      </c>
      <c r="C32" s="22" t="n">
        <v>2</v>
      </c>
      <c r="D32" s="26" t="s">
        <v>412</v>
      </c>
      <c r="E32" s="22" t="s">
        <v>381</v>
      </c>
      <c r="F32" s="22"/>
    </row>
    <row r="33" customFormat="false" ht="45" hidden="false" customHeight="true" outlineLevel="0" collapsed="false">
      <c r="A33" s="22" t="s">
        <v>39</v>
      </c>
      <c r="B33" s="22" t="s">
        <v>41</v>
      </c>
      <c r="C33" s="22" t="n">
        <v>3</v>
      </c>
      <c r="D33" s="22" t="s">
        <v>413</v>
      </c>
      <c r="E33" s="22" t="s">
        <v>381</v>
      </c>
      <c r="F33" s="22"/>
    </row>
    <row r="34" customFormat="false" ht="45" hidden="false" customHeight="true" outlineLevel="0" collapsed="false">
      <c r="A34" s="22" t="s">
        <v>43</v>
      </c>
      <c r="B34" s="22" t="s">
        <v>45</v>
      </c>
      <c r="C34" s="22" t="n">
        <v>1</v>
      </c>
      <c r="D34" s="22" t="s">
        <v>414</v>
      </c>
      <c r="E34" s="22" t="s">
        <v>372</v>
      </c>
      <c r="F34" s="22"/>
    </row>
    <row r="35" customFormat="false" ht="45" hidden="false" customHeight="true" outlineLevel="0" collapsed="false">
      <c r="A35" s="22" t="s">
        <v>43</v>
      </c>
      <c r="B35" s="22" t="s">
        <v>45</v>
      </c>
      <c r="C35" s="22" t="n">
        <v>2</v>
      </c>
      <c r="D35" s="22" t="s">
        <v>415</v>
      </c>
      <c r="E35" s="22" t="s">
        <v>375</v>
      </c>
      <c r="F35" s="22" t="s">
        <v>389</v>
      </c>
    </row>
    <row r="36" customFormat="false" ht="45" hidden="false" customHeight="true" outlineLevel="0" collapsed="false">
      <c r="A36" s="22" t="s">
        <v>43</v>
      </c>
      <c r="B36" s="22" t="s">
        <v>45</v>
      </c>
      <c r="C36" s="22" t="n">
        <v>3</v>
      </c>
      <c r="D36" s="22" t="s">
        <v>416</v>
      </c>
      <c r="E36" s="22" t="s">
        <v>375</v>
      </c>
      <c r="F36" s="22" t="s">
        <v>373</v>
      </c>
    </row>
    <row r="37" customFormat="false" ht="45" hidden="false" customHeight="true" outlineLevel="0" collapsed="false">
      <c r="A37" s="22" t="s">
        <v>48</v>
      </c>
      <c r="B37" s="22" t="s">
        <v>50</v>
      </c>
      <c r="C37" s="22" t="n">
        <v>1</v>
      </c>
      <c r="D37" s="22" t="s">
        <v>417</v>
      </c>
      <c r="E37" s="22" t="s">
        <v>372</v>
      </c>
      <c r="F37" s="22"/>
    </row>
    <row r="38" customFormat="false" ht="45" hidden="false" customHeight="true" outlineLevel="0" collapsed="false">
      <c r="A38" s="22" t="s">
        <v>48</v>
      </c>
      <c r="B38" s="22" t="s">
        <v>50</v>
      </c>
      <c r="C38" s="22" t="n">
        <v>2</v>
      </c>
      <c r="D38" s="22" t="s">
        <v>418</v>
      </c>
      <c r="E38" s="22" t="s">
        <v>381</v>
      </c>
      <c r="F38" s="22"/>
    </row>
    <row r="39" customFormat="false" ht="45" hidden="false" customHeight="true" outlineLevel="0" collapsed="false">
      <c r="A39" s="22" t="s">
        <v>52</v>
      </c>
      <c r="B39" s="22" t="s">
        <v>54</v>
      </c>
      <c r="C39" s="22" t="n">
        <v>1</v>
      </c>
      <c r="D39" s="22" t="s">
        <v>419</v>
      </c>
      <c r="E39" s="22" t="s">
        <v>372</v>
      </c>
      <c r="F39" s="22"/>
    </row>
    <row r="40" customFormat="false" ht="45" hidden="false" customHeight="true" outlineLevel="0" collapsed="false">
      <c r="A40" s="22" t="s">
        <v>52</v>
      </c>
      <c r="B40" s="22" t="s">
        <v>54</v>
      </c>
      <c r="C40" s="22" t="n">
        <v>2</v>
      </c>
      <c r="D40" s="26" t="s">
        <v>420</v>
      </c>
      <c r="E40" s="22" t="s">
        <v>381</v>
      </c>
      <c r="F40" s="22" t="s">
        <v>385</v>
      </c>
    </row>
    <row r="41" customFormat="false" ht="45" hidden="false" customHeight="true" outlineLevel="0" collapsed="false">
      <c r="A41" s="22" t="s">
        <v>57</v>
      </c>
      <c r="B41" s="22" t="s">
        <v>59</v>
      </c>
      <c r="C41" s="22" t="n">
        <v>1</v>
      </c>
      <c r="D41" s="22" t="s">
        <v>421</v>
      </c>
      <c r="E41" s="22" t="s">
        <v>422</v>
      </c>
      <c r="F41" s="22" t="s">
        <v>193</v>
      </c>
    </row>
    <row r="42" customFormat="false" ht="45" hidden="false" customHeight="true" outlineLevel="0" collapsed="false">
      <c r="A42" s="22" t="s">
        <v>57</v>
      </c>
      <c r="B42" s="22" t="s">
        <v>59</v>
      </c>
      <c r="C42" s="22" t="n">
        <v>2</v>
      </c>
      <c r="D42" s="22" t="s">
        <v>423</v>
      </c>
      <c r="E42" s="22" t="s">
        <v>393</v>
      </c>
      <c r="F42" s="22" t="s">
        <v>424</v>
      </c>
    </row>
    <row r="43" customFormat="false" ht="45" hidden="false" customHeight="true" outlineLevel="0" collapsed="false">
      <c r="A43" s="22" t="s">
        <v>57</v>
      </c>
      <c r="B43" s="22" t="s">
        <v>59</v>
      </c>
      <c r="C43" s="22" t="n">
        <v>3</v>
      </c>
      <c r="D43" s="22" t="s">
        <v>425</v>
      </c>
      <c r="E43" s="22" t="s">
        <v>375</v>
      </c>
      <c r="F43" s="22" t="s">
        <v>426</v>
      </c>
    </row>
    <row r="44" customFormat="false" ht="45" hidden="false" customHeight="true" outlineLevel="0" collapsed="false">
      <c r="A44" s="22" t="s">
        <v>61</v>
      </c>
      <c r="B44" s="22" t="s">
        <v>63</v>
      </c>
      <c r="C44" s="22" t="n">
        <v>1</v>
      </c>
      <c r="D44" s="22" t="s">
        <v>427</v>
      </c>
      <c r="E44" s="22" t="s">
        <v>372</v>
      </c>
      <c r="F44" s="22" t="s">
        <v>373</v>
      </c>
    </row>
    <row r="45" customFormat="false" ht="45" hidden="false" customHeight="true" outlineLevel="0" collapsed="false">
      <c r="A45" s="22" t="s">
        <v>61</v>
      </c>
      <c r="B45" s="22" t="s">
        <v>63</v>
      </c>
      <c r="C45" s="22" t="n">
        <v>2</v>
      </c>
      <c r="D45" s="22" t="s">
        <v>428</v>
      </c>
      <c r="E45" s="22" t="s">
        <v>375</v>
      </c>
      <c r="F45" s="22" t="s">
        <v>373</v>
      </c>
    </row>
    <row r="46" customFormat="false" ht="45" hidden="false" customHeight="true" outlineLevel="0" collapsed="false">
      <c r="A46" s="22" t="s">
        <v>65</v>
      </c>
      <c r="B46" s="22" t="s">
        <v>67</v>
      </c>
      <c r="C46" s="22" t="n">
        <v>1</v>
      </c>
      <c r="D46" s="22" t="s">
        <v>429</v>
      </c>
      <c r="E46" s="22" t="s">
        <v>372</v>
      </c>
      <c r="F46" s="22" t="s">
        <v>193</v>
      </c>
    </row>
    <row r="47" customFormat="false" ht="45" hidden="false" customHeight="true" outlineLevel="0" collapsed="false">
      <c r="A47" s="22" t="s">
        <v>65</v>
      </c>
      <c r="B47" s="22" t="s">
        <v>67</v>
      </c>
      <c r="C47" s="22" t="n">
        <v>2</v>
      </c>
      <c r="D47" s="22" t="s">
        <v>430</v>
      </c>
      <c r="E47" s="22" t="s">
        <v>375</v>
      </c>
      <c r="F47" s="22"/>
    </row>
    <row r="48" customFormat="false" ht="45" hidden="false" customHeight="true" outlineLevel="0" collapsed="false">
      <c r="A48" s="22" t="s">
        <v>69</v>
      </c>
      <c r="B48" s="22" t="s">
        <v>71</v>
      </c>
      <c r="C48" s="22" t="n">
        <v>1</v>
      </c>
      <c r="D48" s="22" t="s">
        <v>431</v>
      </c>
      <c r="E48" s="22" t="s">
        <v>372</v>
      </c>
      <c r="F48" s="22"/>
    </row>
    <row r="49" customFormat="false" ht="45" hidden="false" customHeight="true" outlineLevel="0" collapsed="false">
      <c r="A49" s="22" t="s">
        <v>69</v>
      </c>
      <c r="B49" s="22" t="s">
        <v>71</v>
      </c>
      <c r="C49" s="22" t="n">
        <v>2</v>
      </c>
      <c r="D49" s="22" t="s">
        <v>432</v>
      </c>
      <c r="E49" s="22" t="s">
        <v>375</v>
      </c>
      <c r="F49" s="22"/>
    </row>
    <row r="50" customFormat="false" ht="45" hidden="false" customHeight="true" outlineLevel="0" collapsed="false">
      <c r="A50" s="22" t="s">
        <v>69</v>
      </c>
      <c r="B50" s="22" t="s">
        <v>71</v>
      </c>
      <c r="C50" s="22" t="n">
        <v>3</v>
      </c>
      <c r="D50" s="22" t="s">
        <v>433</v>
      </c>
      <c r="E50" s="22" t="s">
        <v>381</v>
      </c>
      <c r="F50" s="22"/>
    </row>
    <row r="51" customFormat="false" ht="45" hidden="false" customHeight="true" outlineLevel="0" collapsed="false">
      <c r="A51" s="22" t="s">
        <v>74</v>
      </c>
      <c r="B51" s="22" t="s">
        <v>76</v>
      </c>
      <c r="C51" s="22" t="n">
        <v>1</v>
      </c>
      <c r="D51" s="22" t="s">
        <v>434</v>
      </c>
      <c r="E51" s="22" t="s">
        <v>375</v>
      </c>
      <c r="F51" s="22" t="s">
        <v>385</v>
      </c>
    </row>
    <row r="52" customFormat="false" ht="45" hidden="false" customHeight="true" outlineLevel="0" collapsed="false">
      <c r="A52" s="22" t="s">
        <v>74</v>
      </c>
      <c r="B52" s="22" t="s">
        <v>76</v>
      </c>
      <c r="C52" s="22" t="n">
        <v>2</v>
      </c>
      <c r="D52" s="22" t="s">
        <v>435</v>
      </c>
      <c r="E52" s="22" t="s">
        <v>381</v>
      </c>
      <c r="F52" s="22"/>
    </row>
    <row r="53" customFormat="false" ht="45" hidden="false" customHeight="true" outlineLevel="0" collapsed="false">
      <c r="A53" s="22" t="s">
        <v>79</v>
      </c>
      <c r="B53" s="22" t="s">
        <v>81</v>
      </c>
      <c r="C53" s="22" t="n">
        <v>1</v>
      </c>
      <c r="D53" s="22" t="s">
        <v>436</v>
      </c>
      <c r="E53" s="22" t="s">
        <v>375</v>
      </c>
      <c r="F53" s="22"/>
    </row>
    <row r="54" customFormat="false" ht="45" hidden="false" customHeight="true" outlineLevel="0" collapsed="false">
      <c r="A54" s="22" t="s">
        <v>83</v>
      </c>
      <c r="B54" s="22" t="s">
        <v>85</v>
      </c>
      <c r="C54" s="22" t="n">
        <v>1</v>
      </c>
      <c r="D54" s="22" t="s">
        <v>437</v>
      </c>
      <c r="E54" s="22"/>
      <c r="F54" s="22"/>
    </row>
    <row r="55" customFormat="false" ht="45" hidden="false" customHeight="true" outlineLevel="0" collapsed="false">
      <c r="A55" s="22" t="s">
        <v>88</v>
      </c>
      <c r="B55" s="22" t="s">
        <v>90</v>
      </c>
      <c r="C55" s="22" t="n">
        <v>1</v>
      </c>
      <c r="D55" s="22" t="s">
        <v>437</v>
      </c>
      <c r="E55" s="22"/>
      <c r="F55" s="22"/>
    </row>
    <row r="56" customFormat="false" ht="45" hidden="false" customHeight="true" outlineLevel="0" collapsed="false">
      <c r="A56" s="22" t="s">
        <v>92</v>
      </c>
      <c r="B56" s="22" t="s">
        <v>94</v>
      </c>
      <c r="C56" s="22" t="n">
        <v>1</v>
      </c>
      <c r="D56" s="22" t="s">
        <v>437</v>
      </c>
      <c r="E56" s="22"/>
      <c r="F56" s="22"/>
    </row>
    <row r="57" customFormat="false" ht="45" hidden="false" customHeight="true" outlineLevel="0" collapsed="false">
      <c r="A57" s="22" t="s">
        <v>96</v>
      </c>
      <c r="B57" s="22" t="s">
        <v>98</v>
      </c>
      <c r="C57" s="22" t="n">
        <v>1</v>
      </c>
      <c r="D57" s="22" t="s">
        <v>437</v>
      </c>
      <c r="E57" s="22"/>
      <c r="F57" s="2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70"/>
    <col collapsed="false" customWidth="true" hidden="false" outlineLevel="0" max="4" min="4" style="0" width="30"/>
    <col collapsed="false" customWidth="true" hidden="false" outlineLevel="0" max="5" min="5" style="0" width="14"/>
    <col collapsed="false" customWidth="true" hidden="false" outlineLevel="0" max="9" min="6" style="0" width="11"/>
    <col collapsed="false" customWidth="true" hidden="false" outlineLevel="0" max="10" min="10" style="0" width="13"/>
    <col collapsed="false" customWidth="true" hidden="false" outlineLevel="0" max="12" min="11" style="0" width="12"/>
  </cols>
  <sheetData>
    <row r="1" customFormat="false" ht="17.35" hidden="false" customHeight="false" outlineLevel="0" collapsed="false">
      <c r="A1" s="18" t="s">
        <v>438</v>
      </c>
    </row>
    <row r="2" customFormat="false" ht="15" hidden="false" customHeight="false" outlineLevel="0" collapsed="false">
      <c r="A2" s="1" t="s">
        <v>439</v>
      </c>
    </row>
    <row r="4" customFormat="false" ht="15" hidden="false" customHeight="false" outlineLevel="0" collapsed="false">
      <c r="A4" s="21" t="s">
        <v>440</v>
      </c>
      <c r="B4" s="21" t="s">
        <v>441</v>
      </c>
      <c r="C4" s="21" t="s">
        <v>442</v>
      </c>
      <c r="D4" s="21" t="s">
        <v>4</v>
      </c>
    </row>
    <row r="5" customFormat="false" ht="30" hidden="false" customHeight="true" outlineLevel="0" collapsed="false">
      <c r="A5" s="22" t="s">
        <v>443</v>
      </c>
      <c r="B5" s="27" t="s">
        <v>444</v>
      </c>
      <c r="C5" s="22" t="s">
        <v>445</v>
      </c>
      <c r="D5" s="22" t="s">
        <v>446</v>
      </c>
    </row>
    <row r="6" customFormat="false" ht="30" hidden="false" customHeight="true" outlineLevel="0" collapsed="false">
      <c r="A6" s="22" t="s">
        <v>447</v>
      </c>
      <c r="B6" s="27" t="s">
        <v>448</v>
      </c>
      <c r="C6" s="22" t="s">
        <v>449</v>
      </c>
      <c r="D6" s="22" t="s">
        <v>450</v>
      </c>
    </row>
    <row r="7" customFormat="false" ht="30" hidden="false" customHeight="true" outlineLevel="0" collapsed="false">
      <c r="A7" s="22" t="s">
        <v>451</v>
      </c>
      <c r="B7" s="27" t="n">
        <v>51</v>
      </c>
      <c r="C7" s="22" t="s">
        <v>449</v>
      </c>
      <c r="D7" s="22" t="s">
        <v>446</v>
      </c>
    </row>
    <row r="8" customFormat="false" ht="30" hidden="false" customHeight="true" outlineLevel="0" collapsed="false">
      <c r="A8" s="22" t="s">
        <v>452</v>
      </c>
      <c r="B8" s="27" t="n">
        <v>10</v>
      </c>
      <c r="C8" s="22" t="s">
        <v>453</v>
      </c>
      <c r="D8" s="22" t="s">
        <v>446</v>
      </c>
    </row>
    <row r="9" customFormat="false" ht="30" hidden="false" customHeight="true" outlineLevel="0" collapsed="false">
      <c r="A9" s="22" t="s">
        <v>454</v>
      </c>
      <c r="B9" s="27" t="n">
        <v>45</v>
      </c>
      <c r="C9" s="22" t="s">
        <v>455</v>
      </c>
      <c r="D9" s="22" t="s">
        <v>446</v>
      </c>
    </row>
    <row r="10" customFormat="false" ht="30" hidden="false" customHeight="true" outlineLevel="0" collapsed="false">
      <c r="A10" s="22" t="s">
        <v>456</v>
      </c>
      <c r="B10" s="27" t="n">
        <v>40</v>
      </c>
      <c r="C10" s="22" t="s">
        <v>455</v>
      </c>
      <c r="D10" s="22" t="s">
        <v>446</v>
      </c>
    </row>
    <row r="11" customFormat="false" ht="30" hidden="false" customHeight="true" outlineLevel="0" collapsed="false">
      <c r="A11" s="22" t="s">
        <v>457</v>
      </c>
      <c r="B11" s="27" t="n">
        <v>5</v>
      </c>
      <c r="C11" s="22" t="s">
        <v>455</v>
      </c>
      <c r="D11" s="22" t="s">
        <v>446</v>
      </c>
    </row>
    <row r="12" customFormat="false" ht="30" hidden="false" customHeight="true" outlineLevel="0" collapsed="false">
      <c r="A12" s="22" t="s">
        <v>458</v>
      </c>
      <c r="B12" s="27" t="s">
        <v>459</v>
      </c>
      <c r="C12" s="22" t="s">
        <v>460</v>
      </c>
      <c r="D12" s="22" t="s">
        <v>461</v>
      </c>
    </row>
    <row r="13" customFormat="false" ht="30" hidden="false" customHeight="true" outlineLevel="0" collapsed="false">
      <c r="A13" s="23" t="s">
        <v>462</v>
      </c>
      <c r="B13" s="27" t="n">
        <f aca="false">SUM(B8:B11)</f>
        <v>100</v>
      </c>
      <c r="C13" s="22" t="str">
        <f aca="false">IF(B13=100,"OK","Las dimensiones no suman 100")</f>
        <v>OK</v>
      </c>
      <c r="D13" s="22" t="s">
        <v>463</v>
      </c>
    </row>
    <row r="15" customFormat="false" ht="15" hidden="false" customHeight="false" outlineLevel="0" collapsed="false">
      <c r="A15" s="28" t="s">
        <v>464</v>
      </c>
    </row>
    <row r="16" customFormat="false" ht="28.35" hidden="false" customHeight="false" outlineLevel="0" collapsed="false">
      <c r="A16" s="21" t="s">
        <v>465</v>
      </c>
      <c r="B16" s="21" t="s">
        <v>466</v>
      </c>
      <c r="C16" s="21" t="s">
        <v>467</v>
      </c>
      <c r="D16" s="21" t="s">
        <v>468</v>
      </c>
      <c r="E16" s="21" t="s">
        <v>469</v>
      </c>
      <c r="F16" s="21" t="s">
        <v>470</v>
      </c>
      <c r="G16" s="21" t="s">
        <v>471</v>
      </c>
      <c r="H16" s="21" t="s">
        <v>472</v>
      </c>
      <c r="I16" s="21" t="s">
        <v>473</v>
      </c>
      <c r="J16" s="21" t="s">
        <v>474</v>
      </c>
      <c r="K16" s="21" t="s">
        <v>475</v>
      </c>
      <c r="L16" s="21" t="s">
        <v>476</v>
      </c>
    </row>
    <row r="17" customFormat="false" ht="30" hidden="false" customHeight="true" outlineLevel="0" collapsed="false">
      <c r="A17" s="22" t="s">
        <v>477</v>
      </c>
      <c r="B17" s="27" t="n">
        <v>80</v>
      </c>
      <c r="C17" s="27" t="n">
        <v>80</v>
      </c>
      <c r="D17" s="27" t="n">
        <v>80</v>
      </c>
      <c r="E17" s="27" t="n">
        <v>100</v>
      </c>
      <c r="F17" s="22" t="n">
        <f aca="false">B17*$B$8/100</f>
        <v>8</v>
      </c>
      <c r="G17" s="22" t="n">
        <f aca="false">C17*$B$9/100</f>
        <v>36</v>
      </c>
      <c r="H17" s="22" t="n">
        <f aca="false">D17*$B$10/100</f>
        <v>32</v>
      </c>
      <c r="I17" s="22" t="n">
        <f aca="false">E17*$B$11/100</f>
        <v>5</v>
      </c>
      <c r="J17" s="22" t="n">
        <f aca="false">SUM(F17:I17)</f>
        <v>81</v>
      </c>
      <c r="K17" s="22" t="n">
        <f aca="false">ROUND(J17,0)</f>
        <v>81</v>
      </c>
      <c r="L17" s="22" t="str">
        <f aca="false">IF(K17&gt;=$B$7,"Aprueba","Reprueba")</f>
        <v>Aprueba</v>
      </c>
    </row>
    <row r="18" customFormat="false" ht="30" hidden="false" customHeight="true" outlineLevel="0" collapsed="false">
      <c r="A18" s="22" t="s">
        <v>478</v>
      </c>
      <c r="B18" s="27" t="n">
        <v>100</v>
      </c>
      <c r="C18" s="27" t="n">
        <v>50</v>
      </c>
      <c r="D18" s="27" t="n">
        <v>40</v>
      </c>
      <c r="E18" s="27" t="n">
        <v>40</v>
      </c>
      <c r="F18" s="22" t="n">
        <f aca="false">B18*$B$8/100</f>
        <v>10</v>
      </c>
      <c r="G18" s="22" t="n">
        <f aca="false">C18*$B$9/100</f>
        <v>22.5</v>
      </c>
      <c r="H18" s="22" t="n">
        <f aca="false">D18*$B$10/100</f>
        <v>16</v>
      </c>
      <c r="I18" s="22" t="n">
        <f aca="false">E18*$B$11/100</f>
        <v>2</v>
      </c>
      <c r="J18" s="22" t="n">
        <f aca="false">SUM(F18:I18)</f>
        <v>50.5</v>
      </c>
      <c r="K18" s="22" t="n">
        <f aca="false">ROUND(J18,0)</f>
        <v>51</v>
      </c>
      <c r="L18" s="22" t="str">
        <f aca="false">IF(K18&gt;=$B$7,"Aprueba","Reprueba")</f>
        <v>Aprueba</v>
      </c>
    </row>
    <row r="19" customFormat="false" ht="30" hidden="false" customHeight="true" outlineLevel="0" collapsed="false">
      <c r="A19" s="22" t="s">
        <v>479</v>
      </c>
      <c r="B19" s="27" t="n">
        <v>80</v>
      </c>
      <c r="C19" s="27" t="n">
        <v>52</v>
      </c>
      <c r="D19" s="27" t="n">
        <v>40</v>
      </c>
      <c r="E19" s="27" t="n">
        <v>60</v>
      </c>
      <c r="F19" s="22" t="n">
        <f aca="false">B19*$B$8/100</f>
        <v>8</v>
      </c>
      <c r="G19" s="22" t="n">
        <f aca="false">C19*$B$9/100</f>
        <v>23.4</v>
      </c>
      <c r="H19" s="22" t="n">
        <f aca="false">D19*$B$10/100</f>
        <v>16</v>
      </c>
      <c r="I19" s="22" t="n">
        <f aca="false">E19*$B$11/100</f>
        <v>3</v>
      </c>
      <c r="J19" s="22" t="n">
        <f aca="false">SUM(F19:I19)</f>
        <v>50.4</v>
      </c>
      <c r="K19" s="22" t="n">
        <f aca="false">ROUND(J19,0)</f>
        <v>50</v>
      </c>
      <c r="L19" s="22" t="str">
        <f aca="false">IF(K19&gt;=$B$7,"Aprueba","Reprueba")</f>
        <v>Reprueba</v>
      </c>
    </row>
    <row r="20" customFormat="false" ht="30" hidden="false" customHeight="true" outlineLevel="0" collapsed="false">
      <c r="A20" s="22" t="s">
        <v>480</v>
      </c>
      <c r="B20" s="27" t="n">
        <v>100</v>
      </c>
      <c r="C20" s="27" t="n">
        <v>100</v>
      </c>
      <c r="D20" s="27" t="n">
        <v>100</v>
      </c>
      <c r="E20" s="27" t="n">
        <v>100</v>
      </c>
      <c r="F20" s="22" t="n">
        <f aca="false">B20*$B$8/100</f>
        <v>10</v>
      </c>
      <c r="G20" s="22" t="n">
        <f aca="false">C20*$B$9/100</f>
        <v>45</v>
      </c>
      <c r="H20" s="22" t="n">
        <f aca="false">D20*$B$10/100</f>
        <v>40</v>
      </c>
      <c r="I20" s="22" t="n">
        <f aca="false">E20*$B$11/100</f>
        <v>5</v>
      </c>
      <c r="J20" s="22" t="n">
        <f aca="false">SUM(F20:I20)</f>
        <v>100</v>
      </c>
      <c r="K20" s="22" t="n">
        <f aca="false">ROUND(J20,0)</f>
        <v>100</v>
      </c>
      <c r="L20" s="22" t="str">
        <f aca="false">IF(K20&gt;=$B$7,"Aprueba","Reprueba")</f>
        <v>Aprueba</v>
      </c>
    </row>
    <row r="21" customFormat="false" ht="30" hidden="false" customHeight="true" outlineLevel="0" collapsed="false">
      <c r="A21" s="22" t="s">
        <v>481</v>
      </c>
      <c r="B21" s="27" t="n">
        <v>1</v>
      </c>
      <c r="C21" s="27" t="n">
        <v>1</v>
      </c>
      <c r="D21" s="27" t="n">
        <v>1</v>
      </c>
      <c r="E21" s="27" t="n">
        <v>1</v>
      </c>
      <c r="F21" s="22" t="n">
        <f aca="false">B21*$B$8/100</f>
        <v>0.1</v>
      </c>
      <c r="G21" s="22" t="n">
        <f aca="false">C21*$B$9/100</f>
        <v>0.45</v>
      </c>
      <c r="H21" s="22" t="n">
        <f aca="false">D21*$B$10/100</f>
        <v>0.4</v>
      </c>
      <c r="I21" s="22" t="n">
        <f aca="false">E21*$B$11/100</f>
        <v>0.05</v>
      </c>
      <c r="J21" s="22" t="n">
        <f aca="false">SUM(F21:I21)</f>
        <v>1</v>
      </c>
      <c r="K21" s="22" t="n">
        <f aca="false">ROUND(J21,0)</f>
        <v>1</v>
      </c>
      <c r="L21" s="22" t="str">
        <f aca="false">IF(K21&gt;=$B$7,"Aprueba","Reprueba")</f>
        <v>Reprueba</v>
      </c>
    </row>
    <row r="23" customFormat="false" ht="30" hidden="false" customHeight="true" outlineLevel="0" collapsed="false">
      <c r="A23" s="25" t="s">
        <v>482</v>
      </c>
      <c r="B23" s="25"/>
      <c r="C23" s="25"/>
      <c r="D23" s="25"/>
      <c r="E23" s="25"/>
      <c r="F23" s="25"/>
      <c r="G23" s="25"/>
      <c r="H23" s="25"/>
      <c r="I23" s="25"/>
      <c r="J23" s="25"/>
      <c r="K23" s="25"/>
      <c r="L23" s="25"/>
    </row>
    <row r="24" customFormat="false" ht="15" hidden="false" customHeight="false" outlineLevel="0" collapsed="false">
      <c r="A24" s="25"/>
      <c r="B24" s="25"/>
      <c r="C24" s="25"/>
      <c r="D24" s="25"/>
      <c r="E24" s="25"/>
      <c r="F24" s="25"/>
      <c r="G24" s="25"/>
      <c r="H24" s="25"/>
      <c r="I24" s="25"/>
      <c r="J24" s="25"/>
      <c r="K24" s="25"/>
      <c r="L24" s="25"/>
    </row>
  </sheetData>
  <mergeCells count="1">
    <mergeCell ref="A23:L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22"/>
    <col collapsed="false" customWidth="true" hidden="false" outlineLevel="0" max="5" min="4" style="0" width="55"/>
  </cols>
  <sheetData>
    <row r="1" customFormat="false" ht="17.35" hidden="false" customHeight="false" outlineLevel="0" collapsed="false">
      <c r="A1" s="18" t="s">
        <v>483</v>
      </c>
    </row>
    <row r="3" customFormat="false" ht="15" hidden="false" customHeight="false" outlineLevel="0" collapsed="false">
      <c r="A3" s="21" t="s">
        <v>367</v>
      </c>
      <c r="B3" s="21" t="s">
        <v>484</v>
      </c>
      <c r="C3" s="21" t="s">
        <v>485</v>
      </c>
      <c r="D3" s="21" t="s">
        <v>486</v>
      </c>
      <c r="E3" s="21" t="s">
        <v>487</v>
      </c>
    </row>
    <row r="4" customFormat="false" ht="48" hidden="false" customHeight="true" outlineLevel="0" collapsed="false">
      <c r="A4" s="22" t="n">
        <v>1</v>
      </c>
      <c r="B4" s="22" t="s">
        <v>488</v>
      </c>
      <c r="C4" s="22" t="s">
        <v>489</v>
      </c>
      <c r="D4" s="22" t="s">
        <v>490</v>
      </c>
      <c r="E4" s="22" t="s">
        <v>491</v>
      </c>
    </row>
    <row r="5" customFormat="false" ht="48" hidden="false" customHeight="true" outlineLevel="0" collapsed="false">
      <c r="A5" s="22" t="n">
        <v>2</v>
      </c>
      <c r="B5" s="22" t="s">
        <v>492</v>
      </c>
      <c r="C5" s="22" t="s">
        <v>489</v>
      </c>
      <c r="D5" s="22" t="s">
        <v>493</v>
      </c>
      <c r="E5" s="22" t="s">
        <v>494</v>
      </c>
    </row>
    <row r="6" customFormat="false" ht="48" hidden="false" customHeight="true" outlineLevel="0" collapsed="false">
      <c r="A6" s="22" t="n">
        <v>3</v>
      </c>
      <c r="B6" s="22" t="s">
        <v>495</v>
      </c>
      <c r="C6" s="22" t="s">
        <v>496</v>
      </c>
      <c r="D6" s="22" t="s">
        <v>497</v>
      </c>
      <c r="E6" s="22" t="s">
        <v>498</v>
      </c>
    </row>
    <row r="7" customFormat="false" ht="48" hidden="false" customHeight="true" outlineLevel="0" collapsed="false">
      <c r="A7" s="22" t="n">
        <v>4</v>
      </c>
      <c r="B7" s="22" t="s">
        <v>499</v>
      </c>
      <c r="C7" s="22" t="s">
        <v>500</v>
      </c>
      <c r="D7" s="22" t="s">
        <v>501</v>
      </c>
      <c r="E7" s="22" t="s">
        <v>502</v>
      </c>
    </row>
    <row r="8" customFormat="false" ht="48" hidden="false" customHeight="true" outlineLevel="0" collapsed="false">
      <c r="A8" s="22" t="n">
        <v>5</v>
      </c>
      <c r="B8" s="22" t="s">
        <v>503</v>
      </c>
      <c r="C8" s="22" t="s">
        <v>504</v>
      </c>
      <c r="D8" s="22" t="s">
        <v>505</v>
      </c>
      <c r="E8" s="22" t="s">
        <v>506</v>
      </c>
    </row>
    <row r="9" customFormat="false" ht="48" hidden="false" customHeight="true" outlineLevel="0" collapsed="false">
      <c r="A9" s="22" t="n">
        <v>6</v>
      </c>
      <c r="B9" s="22" t="s">
        <v>507</v>
      </c>
      <c r="C9" s="22" t="s">
        <v>339</v>
      </c>
      <c r="D9" s="22" t="s">
        <v>508</v>
      </c>
      <c r="E9" s="22" t="s">
        <v>509</v>
      </c>
    </row>
    <row r="10" customFormat="false" ht="48" hidden="false" customHeight="true" outlineLevel="0" collapsed="false">
      <c r="A10" s="22" t="n">
        <v>7</v>
      </c>
      <c r="B10" s="22" t="s">
        <v>510</v>
      </c>
      <c r="C10" s="22" t="s">
        <v>511</v>
      </c>
      <c r="D10" s="22" t="s">
        <v>512</v>
      </c>
      <c r="E10" s="22" t="s">
        <v>513</v>
      </c>
    </row>
    <row r="11" customFormat="false" ht="48" hidden="false" customHeight="true" outlineLevel="0" collapsed="false">
      <c r="A11" s="22" t="n">
        <v>8</v>
      </c>
      <c r="B11" s="22" t="s">
        <v>514</v>
      </c>
      <c r="C11" s="22" t="s">
        <v>515</v>
      </c>
      <c r="D11" s="22" t="s">
        <v>516</v>
      </c>
      <c r="E11" s="22" t="s">
        <v>517</v>
      </c>
    </row>
    <row r="12" customFormat="false" ht="48" hidden="false" customHeight="true" outlineLevel="0" collapsed="false">
      <c r="A12" s="22" t="n">
        <v>9</v>
      </c>
      <c r="B12" s="22" t="s">
        <v>518</v>
      </c>
      <c r="C12" s="22" t="s">
        <v>519</v>
      </c>
      <c r="D12" s="22" t="s">
        <v>520</v>
      </c>
      <c r="E12" s="22" t="s">
        <v>521</v>
      </c>
    </row>
    <row r="13" customFormat="false" ht="48" hidden="false" customHeight="true" outlineLevel="0" collapsed="false">
      <c r="A13" s="22" t="n">
        <v>10</v>
      </c>
      <c r="B13" s="22" t="s">
        <v>522</v>
      </c>
      <c r="C13" s="22" t="s">
        <v>523</v>
      </c>
      <c r="D13" s="22" t="s">
        <v>524</v>
      </c>
      <c r="E13" s="22" t="s">
        <v>525</v>
      </c>
    </row>
    <row r="14" customFormat="false" ht="48" hidden="false" customHeight="true" outlineLevel="0" collapsed="false">
      <c r="A14" s="22" t="n">
        <v>11</v>
      </c>
      <c r="B14" s="22" t="s">
        <v>526</v>
      </c>
      <c r="C14" s="22" t="s">
        <v>527</v>
      </c>
      <c r="D14" s="22" t="s">
        <v>528</v>
      </c>
      <c r="E14" s="22" t="s">
        <v>529</v>
      </c>
    </row>
    <row r="15" customFormat="false" ht="48" hidden="false" customHeight="true" outlineLevel="0" collapsed="false">
      <c r="A15" s="22" t="n">
        <v>12</v>
      </c>
      <c r="B15" s="22" t="s">
        <v>530</v>
      </c>
      <c r="C15" s="22" t="s">
        <v>531</v>
      </c>
      <c r="D15" s="22" t="s">
        <v>532</v>
      </c>
      <c r="E15" s="22" t="s">
        <v>533</v>
      </c>
    </row>
    <row r="16" customFormat="false" ht="48" hidden="false" customHeight="true" outlineLevel="0" collapsed="false">
      <c r="A16" s="22" t="n">
        <v>13</v>
      </c>
      <c r="B16" s="22" t="s">
        <v>534</v>
      </c>
      <c r="C16" s="22" t="s">
        <v>535</v>
      </c>
      <c r="D16" s="22" t="s">
        <v>536</v>
      </c>
      <c r="E16" s="22" t="s">
        <v>537</v>
      </c>
    </row>
    <row r="17" customFormat="false" ht="48" hidden="false" customHeight="true" outlineLevel="0" collapsed="false">
      <c r="A17" s="22" t="n">
        <v>14</v>
      </c>
      <c r="B17" s="22" t="s">
        <v>538</v>
      </c>
      <c r="C17" s="22" t="s">
        <v>539</v>
      </c>
      <c r="D17" s="22" t="s">
        <v>540</v>
      </c>
      <c r="E17" s="22" t="s">
        <v>541</v>
      </c>
    </row>
    <row r="18" customFormat="false" ht="54.75" hidden="false" customHeight="true" outlineLevel="0" collapsed="false">
      <c r="A18" s="22" t="n">
        <v>15</v>
      </c>
      <c r="B18" s="22" t="s">
        <v>542</v>
      </c>
      <c r="C18" s="22" t="s">
        <v>543</v>
      </c>
      <c r="D18" s="22" t="s">
        <v>544</v>
      </c>
      <c r="E18" s="22" t="s">
        <v>545</v>
      </c>
    </row>
    <row r="19" customFormat="false" ht="54.75" hidden="false" customHeight="true" outlineLevel="0" collapsed="false">
      <c r="A19" s="22" t="n">
        <v>16</v>
      </c>
      <c r="B19" s="22" t="s">
        <v>546</v>
      </c>
      <c r="C19" s="22" t="s">
        <v>547</v>
      </c>
      <c r="D19" s="22" t="s">
        <v>548</v>
      </c>
      <c r="E19" s="22" t="s">
        <v>549</v>
      </c>
    </row>
    <row r="20" customFormat="false" ht="54.75" hidden="false" customHeight="true" outlineLevel="0" collapsed="false">
      <c r="A20" s="22" t="n">
        <v>17</v>
      </c>
      <c r="B20" s="22" t="s">
        <v>550</v>
      </c>
      <c r="C20" s="22" t="s">
        <v>551</v>
      </c>
      <c r="D20" s="22" t="s">
        <v>552</v>
      </c>
      <c r="E20" s="22" t="s">
        <v>553</v>
      </c>
    </row>
    <row r="21" customFormat="false" ht="54.75" hidden="false" customHeight="true" outlineLevel="0" collapsed="false">
      <c r="A21" s="22" t="n">
        <v>18</v>
      </c>
      <c r="B21" s="22" t="s">
        <v>554</v>
      </c>
      <c r="C21" s="22" t="s">
        <v>555</v>
      </c>
      <c r="D21" s="22" t="s">
        <v>556</v>
      </c>
      <c r="E21" s="22" t="s">
        <v>557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453125" defaultRowHeight="15" zeroHeight="false" outlineLevelRow="0" outlineLevelCol="0"/>
  <cols>
    <col collapsed="false" customWidth="true" hidden="false" outlineLevel="0" max="1" min="1" style="1" width="1.57"/>
    <col collapsed="false" customWidth="true" hidden="false" outlineLevel="0" max="2" min="2" style="1" width="27.71"/>
    <col collapsed="false" customWidth="true" hidden="false" outlineLevel="0" max="3" min="3" style="1" width="86"/>
    <col collapsed="false" customWidth="true" hidden="false" outlineLevel="0" max="4" min="4" style="1" width="2.86"/>
    <col collapsed="false" customWidth="true" hidden="false" outlineLevel="0" max="6" min="5" style="1" width="11.43"/>
    <col collapsed="false" customWidth="true" hidden="false" outlineLevel="0" max="26" min="7" style="1" width="10.71"/>
  </cols>
  <sheetData>
    <row r="1" customFormat="false" ht="33.75" hidden="false" customHeight="true" outlineLevel="0" collapsed="false">
      <c r="A1" s="2"/>
      <c r="B1" s="3" t="s">
        <v>558</v>
      </c>
      <c r="C1" s="2"/>
      <c r="D1" s="2"/>
      <c r="E1" s="2"/>
      <c r="F1" s="2"/>
      <c r="G1" s="2"/>
      <c r="H1" s="2"/>
      <c r="I1" s="2"/>
      <c r="J1" s="2"/>
      <c r="K1" s="2"/>
      <c r="L1" s="2"/>
      <c r="M1" s="2"/>
      <c r="N1" s="2"/>
      <c r="O1" s="2"/>
      <c r="P1" s="2"/>
      <c r="Q1" s="2"/>
      <c r="R1" s="2"/>
      <c r="S1" s="2"/>
      <c r="T1" s="2"/>
      <c r="U1" s="2"/>
      <c r="V1" s="2"/>
      <c r="W1" s="2"/>
      <c r="X1" s="2"/>
      <c r="Y1" s="2"/>
      <c r="Z1" s="2"/>
    </row>
    <row r="2" customFormat="false" ht="19.5" hidden="false" customHeight="true" outlineLevel="0" collapsed="false">
      <c r="A2" s="2"/>
      <c r="B2" s="4"/>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9" t="s">
        <v>559</v>
      </c>
      <c r="C4" s="29" t="s">
        <v>560</v>
      </c>
      <c r="D4" s="2"/>
      <c r="E4" s="2"/>
      <c r="F4" s="2"/>
      <c r="G4" s="2"/>
      <c r="H4" s="2"/>
      <c r="I4" s="2"/>
      <c r="J4" s="2"/>
      <c r="K4" s="2"/>
      <c r="L4" s="2"/>
      <c r="M4" s="2"/>
      <c r="N4" s="2"/>
      <c r="O4" s="2"/>
      <c r="P4" s="2"/>
      <c r="Q4" s="2"/>
      <c r="R4" s="2"/>
      <c r="S4" s="2"/>
      <c r="T4" s="2"/>
      <c r="U4" s="2"/>
      <c r="V4" s="2"/>
      <c r="W4" s="2"/>
      <c r="X4" s="2"/>
      <c r="Y4" s="2"/>
      <c r="Z4" s="2"/>
    </row>
    <row r="5" customFormat="false" ht="41.25" hidden="false" customHeight="true" outlineLevel="0" collapsed="false">
      <c r="A5" s="2"/>
      <c r="B5" s="30" t="s">
        <v>1</v>
      </c>
      <c r="C5" s="30" t="s">
        <v>561</v>
      </c>
      <c r="D5" s="2"/>
      <c r="E5" s="2"/>
      <c r="F5" s="2"/>
      <c r="G5" s="2"/>
      <c r="H5" s="2"/>
      <c r="I5" s="2"/>
      <c r="J5" s="2"/>
      <c r="K5" s="2"/>
      <c r="L5" s="2"/>
      <c r="M5" s="2"/>
      <c r="N5" s="2"/>
      <c r="O5" s="2"/>
      <c r="P5" s="2"/>
      <c r="Q5" s="2"/>
      <c r="R5" s="2"/>
      <c r="S5" s="2"/>
      <c r="T5" s="2"/>
      <c r="U5" s="2"/>
      <c r="V5" s="2"/>
      <c r="W5" s="2"/>
      <c r="X5" s="2"/>
      <c r="Y5" s="2"/>
      <c r="Z5" s="2"/>
    </row>
    <row r="6" customFormat="false" ht="68.25" hidden="false" customHeight="true" outlineLevel="0" collapsed="false">
      <c r="A6" s="2"/>
      <c r="B6" s="30" t="s">
        <v>2</v>
      </c>
      <c r="C6" s="30" t="s">
        <v>562</v>
      </c>
      <c r="D6" s="2"/>
      <c r="E6" s="2"/>
      <c r="F6" s="2"/>
      <c r="G6" s="2"/>
      <c r="H6" s="2"/>
      <c r="I6" s="2"/>
      <c r="J6" s="2"/>
      <c r="K6" s="2"/>
      <c r="L6" s="2"/>
      <c r="M6" s="2"/>
      <c r="N6" s="2"/>
      <c r="O6" s="2"/>
      <c r="P6" s="2"/>
      <c r="Q6" s="2"/>
      <c r="R6" s="2"/>
      <c r="S6" s="2"/>
      <c r="T6" s="2"/>
      <c r="U6" s="2"/>
      <c r="V6" s="2"/>
      <c r="W6" s="2"/>
      <c r="X6" s="2"/>
      <c r="Y6" s="2"/>
      <c r="Z6" s="2"/>
    </row>
    <row r="7" customFormat="false" ht="41.25" hidden="false" customHeight="true" outlineLevel="0" collapsed="false">
      <c r="A7" s="2"/>
      <c r="B7" s="30" t="s">
        <v>3</v>
      </c>
      <c r="C7" s="30" t="s">
        <v>563</v>
      </c>
      <c r="D7" s="2"/>
      <c r="E7" s="2"/>
      <c r="F7" s="2"/>
      <c r="G7" s="2"/>
      <c r="H7" s="2"/>
      <c r="I7" s="2"/>
      <c r="J7" s="2"/>
      <c r="K7" s="2"/>
      <c r="L7" s="2"/>
      <c r="M7" s="2"/>
      <c r="N7" s="2"/>
      <c r="O7" s="2"/>
      <c r="P7" s="2"/>
      <c r="Q7" s="2"/>
      <c r="R7" s="2"/>
      <c r="S7" s="2"/>
      <c r="T7" s="2"/>
      <c r="U7" s="2"/>
      <c r="V7" s="2"/>
      <c r="W7" s="2"/>
      <c r="X7" s="2"/>
      <c r="Y7" s="2"/>
      <c r="Z7" s="2"/>
    </row>
    <row r="8" customFormat="false" ht="202.5" hidden="false" customHeight="true" outlineLevel="0" collapsed="false">
      <c r="A8" s="2"/>
      <c r="B8" s="30" t="s">
        <v>4</v>
      </c>
      <c r="C8" s="30" t="s">
        <v>564</v>
      </c>
      <c r="D8" s="2"/>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30" t="s">
        <v>5</v>
      </c>
      <c r="C9" s="30" t="s">
        <v>565</v>
      </c>
      <c r="D9" s="2"/>
      <c r="E9" s="2"/>
      <c r="F9" s="2"/>
      <c r="G9" s="2"/>
      <c r="H9" s="2"/>
      <c r="I9" s="2"/>
      <c r="J9" s="2"/>
      <c r="K9" s="2"/>
      <c r="L9" s="2"/>
      <c r="M9" s="2"/>
      <c r="N9" s="2"/>
      <c r="O9" s="2"/>
      <c r="P9" s="2"/>
      <c r="Q9" s="2"/>
      <c r="R9" s="2"/>
      <c r="S9" s="2"/>
      <c r="T9" s="2"/>
      <c r="U9" s="2"/>
      <c r="V9" s="2"/>
      <c r="W9" s="2"/>
      <c r="X9" s="2"/>
      <c r="Y9" s="2"/>
      <c r="Z9" s="2"/>
    </row>
    <row r="10" customFormat="false" ht="50.25" hidden="false" customHeight="true" outlineLevel="0" collapsed="false">
      <c r="A10" s="2"/>
      <c r="B10" s="30" t="s">
        <v>566</v>
      </c>
      <c r="C10" s="30" t="s">
        <v>567</v>
      </c>
      <c r="D10" s="2"/>
      <c r="E10" s="2"/>
      <c r="F10" s="2"/>
      <c r="G10" s="2"/>
      <c r="H10" s="2"/>
      <c r="I10" s="2"/>
      <c r="J10" s="2"/>
      <c r="K10" s="2"/>
      <c r="L10" s="2"/>
      <c r="M10" s="2"/>
      <c r="N10" s="2"/>
      <c r="O10" s="2"/>
      <c r="P10" s="2"/>
      <c r="Q10" s="2"/>
      <c r="R10" s="2"/>
      <c r="S10" s="2"/>
      <c r="T10" s="2"/>
      <c r="U10" s="2"/>
      <c r="V10" s="2"/>
      <c r="W10" s="2"/>
      <c r="X10" s="2"/>
      <c r="Y10" s="2"/>
      <c r="Z10" s="2"/>
    </row>
    <row r="11" customFormat="false" ht="50.25" hidden="false" customHeight="true" outlineLevel="0" collapsed="false">
      <c r="A11" s="2"/>
      <c r="B11" s="30" t="s">
        <v>7</v>
      </c>
      <c r="C11" s="30" t="s">
        <v>568</v>
      </c>
      <c r="D11" s="2"/>
      <c r="E11" s="2"/>
      <c r="F11" s="2"/>
      <c r="G11" s="2"/>
      <c r="H11" s="2"/>
      <c r="I11" s="2"/>
      <c r="J11" s="2"/>
      <c r="K11" s="2"/>
      <c r="L11" s="2"/>
      <c r="M11" s="2"/>
      <c r="N11" s="2"/>
      <c r="O11" s="2"/>
      <c r="P11" s="2"/>
      <c r="Q11" s="2"/>
      <c r="R11" s="2"/>
      <c r="S11" s="2"/>
      <c r="T11" s="2"/>
      <c r="U11" s="2"/>
      <c r="V11" s="2"/>
      <c r="W11" s="2"/>
      <c r="X11" s="2"/>
      <c r="Y11" s="2"/>
      <c r="Z11" s="2"/>
    </row>
    <row r="12" customFormat="false" ht="54.75" hidden="false" customHeight="true" outlineLevel="0" collapsed="false">
      <c r="A12" s="2"/>
      <c r="B12" s="30" t="s">
        <v>8</v>
      </c>
      <c r="C12" s="30" t="s">
        <v>569</v>
      </c>
      <c r="D12" s="2"/>
      <c r="E12" s="2"/>
      <c r="F12" s="2"/>
      <c r="G12" s="2"/>
      <c r="H12" s="2"/>
      <c r="I12" s="2"/>
      <c r="J12" s="2"/>
      <c r="K12" s="2"/>
      <c r="L12" s="2"/>
      <c r="M12" s="2"/>
      <c r="N12" s="2"/>
      <c r="O12" s="2"/>
      <c r="P12" s="2"/>
      <c r="Q12" s="2"/>
      <c r="R12" s="2"/>
      <c r="S12" s="2"/>
      <c r="T12" s="2"/>
      <c r="U12" s="2"/>
      <c r="V12" s="2"/>
      <c r="W12" s="2"/>
      <c r="X12" s="2"/>
      <c r="Y12" s="2"/>
      <c r="Z12" s="2"/>
    </row>
    <row r="13" customFormat="false" ht="54.75" hidden="false" customHeight="true" outlineLevel="0" collapsed="false">
      <c r="A13" s="2"/>
      <c r="B13" s="30" t="s">
        <v>9</v>
      </c>
      <c r="C13" s="30" t="s">
        <v>570</v>
      </c>
      <c r="D13" s="2"/>
      <c r="E13" s="2"/>
      <c r="F13" s="2"/>
      <c r="G13" s="2"/>
      <c r="H13" s="2"/>
      <c r="I13" s="2"/>
      <c r="J13" s="2"/>
      <c r="K13" s="2"/>
      <c r="L13" s="2"/>
      <c r="M13" s="2"/>
      <c r="N13" s="2"/>
      <c r="O13" s="2"/>
      <c r="P13" s="2"/>
      <c r="Q13" s="2"/>
      <c r="R13" s="2"/>
      <c r="S13" s="2"/>
      <c r="T13" s="2"/>
      <c r="U13" s="2"/>
      <c r="V13" s="2"/>
      <c r="W13" s="2"/>
      <c r="X13" s="2"/>
      <c r="Y13" s="2"/>
      <c r="Z13" s="2"/>
    </row>
    <row r="14" customFormat="false" ht="27.75" hidden="false" customHeight="true" outlineLevel="0" collapsed="false">
      <c r="A14" s="2"/>
      <c r="B14" s="30" t="s">
        <v>10</v>
      </c>
      <c r="C14" s="30" t="s">
        <v>571</v>
      </c>
      <c r="D14" s="2"/>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headings="false" gridLines="false" gridLinesSet="true" horizontalCentered="false" verticalCentered="false"/>
  <pageMargins left="0.7" right="0.7" top="0.75" bottom="0.75" header="0.511811023622047" footer="0.511811023622047"/>
  <pageSetup paperSize="9" scale="68"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dc:description/>
  <dc:language>en-US</dc:language>
  <cp:lastModifiedBy/>
  <dcterms:modified xsi:type="dcterms:W3CDTF">2026-10-13T04:52:31Z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