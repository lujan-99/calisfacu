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Instructivo"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<sst xmlns="http://schemas.openxmlformats.org/spreadsheetml/2006/main" count="146" uniqueCount="101">
  <si>
    <t xml:space="preserve">Desarrollo ágil: Pila de Producto (Product Backlog)</t>
  </si>
  <si>
    <t xml:space="preserve">Identificador (ID) de la Historia</t>
  </si>
  <si>
    <t xml:space="preserve">Enunciado de la Historia</t>
  </si>
  <si>
    <t xml:space="preserve">Alias</t>
  </si>
  <si>
    <t xml:space="preserve">Estado</t>
  </si>
  <si>
    <t xml:space="preserve">Puntos Valor</t>
  </si>
  <si>
    <t xml:space="preserve">Puntos Historia</t>
  </si>
  <si>
    <t xml:space="preserve">ROI</t>
  </si>
  <si>
    <t xml:space="preserve">Iteración (Sprint)</t>
  </si>
  <si>
    <t xml:space="preserve">Prioridad</t>
  </si>
  <si>
    <t xml:space="preserve">Comentarios</t>
  </si>
  <si>
    <t xml:space="preserve">US-08</t>
  </si>
  <si>
    <t xml:space="preserve">Como profesor, quiero recibir una alerta automática cuando el promedio de un estudiante caiga por debajo del mínimo aprobatorio, para poder comunicarme con el tutor a tiempo y no enterarme recién al cierre del periodo.</t>
  </si>
  <si>
    <t xml:space="preserve">Alerta de Promedio Bajo</t>
  </si>
  <si>
    <t xml:space="preserve">Planificada</t>
  </si>
  <si>
    <t xml:space="preserve">Sprint 5</t>
  </si>
  <si>
    <t xml:space="preserve">BAJA</t>
  </si>
  <si>
    <t xml:space="preserve">Depende de US-02 y US-06. Se ubica al final porque requiere configuración de umbrales y canal de notificación.</t>
  </si>
  <si>
    <t xml:space="preserve">US-09</t>
  </si>
  <si>
    <t xml:space="preserve">Como secretaria, quiero que las notas de todos los profesores se centralicen automáticamente al cierre del trimestre, para no tener que recopilarlas y transcribirlas manualmente.</t>
  </si>
  <si>
    <t xml:space="preserve">Centralización de Notas</t>
  </si>
  <si>
    <t xml:space="preserve">Sprint 6</t>
  </si>
  <si>
    <t xml:space="preserve">MEDIA</t>
  </si>
  <si>
    <t xml:space="preserve">Depende de US-01 y US-02. Automatiza la recopilación manual de notas de todos los profesores. (Valores estimados)</t>
  </si>
  <si>
    <t xml:space="preserve">US-14</t>
  </si>
  <si>
    <t xml:space="preserve">Como padre de familia, quiero pagar las mensualidades en línea (QR o transferencia), para no tener que ir al colegio ni enviar el dinero con mi hijo.</t>
  </si>
  <si>
    <t xml:space="preserve">Pago en Línea</t>
  </si>
  <si>
    <t xml:space="preserve">Sprint 8</t>
  </si>
  <si>
    <t xml:space="preserve">Depende de US-13. Requiere integración con QR/transferencia, por eso tiene el mayor esfuerzo. (Valores estimados)</t>
  </si>
  <si>
    <t xml:space="preserve">US-12</t>
  </si>
  <si>
    <t xml:space="preserve">Como padre de familia, quiero recibir una notificación cuando el boletín de mi hijo esté disponible, para enterarme a tiempo de sus resultados.</t>
  </si>
  <si>
    <t xml:space="preserve">Aviso de Boletín</t>
  </si>
  <si>
    <t xml:space="preserve">Depende de US-07 y US-11. Complementa la consulta de boletín con un aviso simple. (Valores estimados)</t>
  </si>
  <si>
    <t xml:space="preserve">US-05</t>
  </si>
  <si>
    <t xml:space="preserve">Como profesor, quiero importar las notas que ya tengo registradas en planillas Excel para migrarlas al sistema sin volver a digitarlas una por una, para que la adopción no me genere doble trabajo.</t>
  </si>
  <si>
    <t xml:space="preserve">Importación desde Excel</t>
  </si>
  <si>
    <t xml:space="preserve">Sprint 3</t>
  </si>
  <si>
    <t xml:space="preserve">Depende de US-01. Reduce la barrera de adopción para maestros con historial en Excel.</t>
  </si>
  <si>
    <t xml:space="preserve">US-11</t>
  </si>
  <si>
    <t xml:space="preserve">Como padre de familia, quiero consultar y descargar el boletín de mi hijo desde el sistema, para conocer su rendimiento sin depender de que el estudiante me lo entregue.</t>
  </si>
  <si>
    <t xml:space="preserve">Consulta de Boletín</t>
  </si>
  <si>
    <t xml:space="preserve">Depende de US-07. Da a los padres acceso directo al boletín sin intermediarios. (Valores estimados)</t>
  </si>
  <si>
    <t xml:space="preserve">US-16</t>
  </si>
  <si>
    <t xml:space="preserve">Como secretaria, quiero registrar los pagos y ver un reporte de los estudiantes con mensualidades pendientes, para llevar el control sin tener que cobrar estudiante por estudiante.</t>
  </si>
  <si>
    <t xml:space="preserve">Control de Pagos</t>
  </si>
  <si>
    <t xml:space="preserve">Sprint 7</t>
  </si>
  <si>
    <t xml:space="preserve">Base del módulo de pagos; US-13, US-14 y US-15 dependen de esta historia. (Valores estimados)</t>
  </si>
  <si>
    <t xml:space="preserve">US-07</t>
  </si>
  <si>
    <t xml:space="preserve">Como profesor, quiero generar el boletín de calificaciones de cada estudiante con sus notas por materia, promedio final y porcentaje de asistencia en un PDF listo para entregar, para no armar el documento manualmente al cierre de cada periodo.</t>
  </si>
  <si>
    <t xml:space="preserve">Boletín de Notas en PDF</t>
  </si>
  <si>
    <t xml:space="preserve">Sprint 4</t>
  </si>
  <si>
    <t xml:space="preserve">Depende de US-02 y US-03. Elimina horas de armado manual de informes al cierre de periodo.</t>
  </si>
  <si>
    <t xml:space="preserve">US-10</t>
  </si>
  <si>
    <t xml:space="preserve">Como secretaria, quiero ver qué profesores ya entregaron sus notas y cuáles faltan por curso, para hacer seguimiento antes del cierre del trimestre.</t>
  </si>
  <si>
    <t xml:space="preserve">Control de Entrega de Notas</t>
  </si>
  <si>
    <t xml:space="preserve">Depende de US-01. Reutiliza los datos de notas ya registrados para mostrar el estado de entrega. (Valores estimados)</t>
  </si>
  <si>
    <t xml:space="preserve">US-15</t>
  </si>
  <si>
    <t xml:space="preserve">Como padre de familia, quiero recibir recordatorios antes del vencimiento de cada mensualidad, para no depender de que mi hijo me avise.</t>
  </si>
  <si>
    <t xml:space="preserve">Recordatorio de Pago</t>
  </si>
  <si>
    <t xml:space="preserve">Depende de US-13. Reutiliza el estado de mensualidades y solo agrega el envío de recordatorios. (Valores estimados)</t>
  </si>
  <si>
    <t xml:space="preserve">US-03</t>
  </si>
  <si>
    <t xml:space="preserve">Como profesor, quiero consultar en cualquier momento el historial completo de notas de un estudiante a lo largo del año, para identificar su evolución académica sin tener que buscar en registros físicos anteriores.</t>
  </si>
  <si>
    <t xml:space="preserve">Historial Académico del Estudiante</t>
  </si>
  <si>
    <t xml:space="preserve">Sprint 2</t>
  </si>
  <si>
    <t xml:space="preserve">ALTA</t>
  </si>
  <si>
    <t xml:space="preserve">Depende de US-01. Reutiliza los datos ya registrados, por eso tiene alto ROI con bajo esfuerzo adicional.</t>
  </si>
  <si>
    <t xml:space="preserve">US-06</t>
  </si>
  <si>
    <t xml:space="preserve">Como profesor, quiero ver en un solo panel el listado de estudiantes de mi curso con su promedio actual y su porcentaje de asistencia, para identificar de un vistazo quiénes están en riesgo académico antes del cierre de periodo.</t>
  </si>
  <si>
    <t xml:space="preserve">Panel de Riesgo Académico</t>
  </si>
  <si>
    <t xml:space="preserve">Depende de US-02. Consolida notas y asistencia en una sola vista accionable.</t>
  </si>
  <si>
    <t xml:space="preserve">US-01</t>
  </si>
  <si>
    <t xml:space="preserve">Como profesor, quiero registrar las calificaciones de cada estudiante por materia, actividad y periodo en un sistema único, para dejar de tener notas dispersas entre cuadernos, Excel y mensajes de WhatsApp.</t>
  </si>
  <si>
    <t xml:space="preserve">Registro Central de Notas</t>
  </si>
  <si>
    <t xml:space="preserve">Sprint 1</t>
  </si>
  <si>
    <t xml:space="preserve">Historia base del sistema. US-02, US-03, US-04 y US-05 dependen de esta historia.</t>
  </si>
  <si>
    <t xml:space="preserve">US-02</t>
  </si>
  <si>
    <t xml:space="preserve">Como profesor, quiero que el sistema calcule automáticamente el promedio y la nota final de cada estudiante por periodo según la ponderación que yo defina para cada tipo de actividad, para evitar errores de cálculo manual y ahorrar horas al cierre de trimestre.</t>
  </si>
  <si>
    <t xml:space="preserve">Cálculo Automático de Promedios</t>
  </si>
  <si>
    <t xml:space="preserve">Depende de US-01. Es la historia de mayor ROI porque elimina horas de trabajo manual por periodo.</t>
  </si>
  <si>
    <t xml:space="preserve">US-04</t>
  </si>
  <si>
    <t xml:space="preserve">Como profesor, quiero corregir una nota ya registrada y que el sistema guarde quién la cambió, cuándo y cuál era el valor anterior, para poder justificar cualquier corrección ante los padres o la dirección académica.</t>
  </si>
  <si>
    <t xml:space="preserve">Corrección Auditable de Notas</t>
  </si>
  <si>
    <t xml:space="preserve">Depende de US-01. Cubre un requisito de transparencia y cumplimiento institucional.</t>
  </si>
  <si>
    <t xml:space="preserve">US-13</t>
  </si>
  <si>
    <t xml:space="preserve">Como padre de familia, quiero ver el estado de las mensualidades de mi hijo (pagadas, pendientes y vencidas), para saber exactamente cuánto debo y hasta cuándo.</t>
  </si>
  <si>
    <t xml:space="preserve">Estado de Mensualidades</t>
  </si>
  <si>
    <t xml:space="preserve">Depende de US-16. Muestra a los padres los datos de pagos que la secretaria ya registra. (Valores estimados)</t>
  </si>
  <si>
    <t xml:space="preserve">Pila de Producto (Product Backlog): Instructivo</t>
  </si>
  <si>
    <t xml:space="preserve">Columna</t>
  </si>
  <si>
    <t xml:space="preserve">Instrucciones</t>
  </si>
  <si>
    <t xml:space="preserve">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</si>
  <si>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[Rol], Quiero [Descripción de la Funcionalidad], para [Razón o Resultado]
</t>
  </si>
  <si>
    <t xml:space="preserve">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</si>
  <si>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</si>
  <si>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 xml:space="preserve">Medida del Valor para el dueño del producto</t>
  </si>
  <si>
    <t xml:space="preserve">Puntos Historia (Esfuerzo)</t>
  </si>
  <si>
    <t xml:space="preserve">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</si>
  <si>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Retorno de la inversion PuntosValor /Puntos Historia , sirve para priorizar el desarrollo</t>
  </si>
  <si>
    <t xml:space="preserve">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</si>
  <si>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 xml:space="preserve">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</si>
  <si>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 xml:space="preserve">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</si>
</sst>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numFmts count="2">
    <numFmt numFmtId="164" formatCode="General"/>
    <numFmt numFmtId="165" formatCode="0.00"/>
  </numFmts>
  <fonts count="7">
    <font>
      <sz val="11"/>
      <color theme="1"/>
      <name val="Calibri"/>
      <family val="0"/>
      <charset val="1"/>
    </font>
    <font>
      <sz val="10"/>
      <name val="Arial"/>
      <family val="0"/>
    </font>
    <font>
      <sz val="10"/>
      <name val="Arial"/>
      <family val="0"/>
    </font>
    <font>
      <sz val="10"/>
      <name val="Arial"/>
      <family val="0"/>
    </font>
    <font>
      <b val="true"/>
      <sz val="28"/>
      <color theme="1"/>
      <name val="Calibri"/>
      <family val="0"/>
      <charset val="1"/>
    </font>
    <font>
      <b val="true"/>
      <sz val="16"/>
      <color rgb="FF1F497D"/>
      <name val="Calibri"/>
      <family val="0"/>
      <charset val="1"/>
    </font>
    <font>
      <sz val="11"/>
      <color theme="0"/>
      <name val="Calibri"/>
      <family val="0"/>
      <charset val="1"/>
    </font>
  </fonts>
  <fills count="4">
    <fill>
      <patternFill patternType="none"/>
    </fill>
    <fill>
      <patternFill patternType="gray125"/>
    </fill>
    <fill>
      <patternFill patternType="solid">
        <fgColor theme="0"/>
        <bgColor rgb="FFFFFFCC"/>
      </patternFill>
    </fill>
    <fill>
      <patternFill patternType="solid">
        <fgColor rgb="FF1F497D"/>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center" textRotation="0" wrapText="true" indent="0" shrinkToFit="false"/>
      <protection locked="true" hidden="false"/>
    </xf>
    <xf numFmtId="165" fontId="0" fillId="2" borderId="1" xfId="0" applyFont="fals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1" width="1.43"/>
    <col collapsed="false" customWidth="true" hidden="false" outlineLevel="0" max="2" min="2" style="1" width="16.43"/>
    <col collapsed="false" customWidth="true" hidden="false" outlineLevel="0" max="3" min="3" style="1" width="89.71"/>
    <col collapsed="false" customWidth="true" hidden="false" outlineLevel="0" max="4" min="4" style="1" width="27.57"/>
    <col collapsed="false" customWidth="true" hidden="false" outlineLevel="0" max="5" min="5" style="1" width="11.15"/>
    <col collapsed="false" customWidth="true" hidden="false" outlineLevel="0" max="6" min="6" style="1" width="9.14"/>
    <col collapsed="false" customWidth="true" hidden="false" outlineLevel="0" max="8" min="7" style="1" width="11.85"/>
    <col collapsed="false" customWidth="true" hidden="false" outlineLevel="0" max="9" min="9" style="1" width="16.14"/>
    <col collapsed="false" customWidth="true" hidden="false" outlineLevel="0" max="10" min="10" style="1" width="17.86"/>
    <col collapsed="false" customWidth="true" hidden="false" outlineLevel="0" max="11" min="11" style="1" width="32.57"/>
    <col collapsed="false" customWidth="true" hidden="false" outlineLevel="0" max="26" min="12" style="1" width="10.71"/>
  </cols>
  <sheetData>
    <row r="1" customFormat="false" ht="33.75" hidden="false" customHeight="true" outlineLevel="0" collapsed="false">
      <c r="A1" s="2"/>
      <c r="B1" s="3" t="s">
        <v>0</v>
      </c>
      <c r="C1" s="2"/>
      <c r="D1" s="2"/>
      <c r="E1" s="2"/>
      <c r="F1" s="2"/>
      <c r="G1" s="2"/>
      <c r="H1" s="2"/>
      <c r="I1" s="2"/>
      <c r="J1" s="2"/>
      <c r="K1" s="2"/>
      <c r="L1" s="2"/>
      <c r="M1" s="2"/>
      <c r="N1" s="2"/>
      <c r="O1" s="2"/>
      <c r="P1" s="2"/>
      <c r="Q1" s="2"/>
      <c r="R1" s="2"/>
      <c r="S1" s="2"/>
      <c r="T1" s="2"/>
      <c r="U1" s="2"/>
      <c r="V1" s="2"/>
      <c r="W1" s="2"/>
      <c r="X1" s="2"/>
      <c r="Y1" s="2"/>
      <c r="Z1" s="2"/>
    </row>
    <row r="2" customFormat="false" ht="19.5" hidden="false" customHeight="true" outlineLevel="0" collapsed="false">
      <c r="A2" s="2"/>
      <c r="B2" s="4"/>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27.75" hidden="false" customHeight="true" outlineLevel="0" collapsed="false">
      <c r="A4" s="2"/>
      <c r="B4" s="5" t="s">
        <v>1</v>
      </c>
      <c r="C4" s="5" t="s">
        <v>2</v>
      </c>
      <c r="D4" s="5" t="s">
        <v>3</v>
      </c>
      <c r="E4" s="5" t="s">
        <v>4</v>
      </c>
      <c r="F4" s="5" t="s">
        <v>5</v>
      </c>
      <c r="G4" s="5" t="s">
        <v>6</v>
      </c>
      <c r="H4" s="5" t="s">
        <v>7</v>
      </c>
      <c r="I4" s="5" t="s">
        <v>8</v>
      </c>
      <c r="J4" s="5" t="s">
        <v>9</v>
      </c>
      <c r="K4" s="5" t="s">
        <v>10</v>
      </c>
      <c r="L4" s="2"/>
      <c r="M4" s="2"/>
      <c r="N4" s="2"/>
      <c r="O4" s="2"/>
      <c r="P4" s="2"/>
      <c r="Q4" s="2"/>
      <c r="R4" s="2"/>
      <c r="S4" s="2"/>
      <c r="T4" s="2"/>
      <c r="U4" s="2"/>
      <c r="V4" s="2"/>
      <c r="W4" s="2"/>
      <c r="X4" s="2"/>
      <c r="Y4" s="2"/>
      <c r="Z4" s="2"/>
    </row>
    <row r="5" customFormat="false" ht="48.75" hidden="false" customHeight="true" outlineLevel="0" collapsed="false">
      <c r="A5" s="6"/>
      <c r="B5" s="7" t="s">
        <v>11</v>
      </c>
      <c r="C5" s="8" t="s">
        <v>12</v>
      </c>
      <c r="D5" s="7" t="s">
        <v>13</v>
      </c>
      <c r="E5" s="8" t="s">
        <v>14</v>
      </c>
      <c r="F5" s="8" t="n">
        <v>8</v>
      </c>
      <c r="G5" s="8" t="n">
        <v>8</v>
      </c>
      <c r="H5" s="9" t="n">
        <f aca="false">ROUND(F5/G5,2)</f>
        <v>1</v>
      </c>
      <c r="I5" s="8" t="s">
        <v>15</v>
      </c>
      <c r="J5" s="8" t="s">
        <v>16</v>
      </c>
      <c r="K5" s="8" t="s">
        <v>17</v>
      </c>
      <c r="L5" s="6"/>
      <c r="M5" s="6"/>
      <c r="N5" s="6"/>
      <c r="O5" s="6"/>
      <c r="P5" s="6"/>
      <c r="Q5" s="6"/>
      <c r="R5" s="6"/>
      <c r="S5" s="6"/>
      <c r="T5" s="6"/>
      <c r="U5" s="6"/>
      <c r="V5" s="6"/>
      <c r="W5" s="6"/>
      <c r="X5" s="6"/>
      <c r="Y5" s="6"/>
      <c r="Z5" s="6"/>
    </row>
    <row r="6" customFormat="false" ht="48.75" hidden="false" customHeight="true" outlineLevel="0" collapsed="false">
      <c r="A6" s="6"/>
      <c r="B6" s="7" t="s">
        <v>18</v>
      </c>
      <c r="C6" s="8" t="s">
        <v>19</v>
      </c>
      <c r="D6" s="10" t="s">
        <v>20</v>
      </c>
      <c r="E6" s="8" t="s">
        <v>14</v>
      </c>
      <c r="F6" s="8" t="n">
        <v>8</v>
      </c>
      <c r="G6" s="8" t="n">
        <v>8</v>
      </c>
      <c r="H6" s="9" t="n">
        <f aca="false">ROUND(F6/G6,2)</f>
        <v>1</v>
      </c>
      <c r="I6" s="8" t="s">
        <v>21</v>
      </c>
      <c r="J6" s="8" t="s">
        <v>22</v>
      </c>
      <c r="K6" s="8" t="s">
        <v>23</v>
      </c>
      <c r="L6" s="6"/>
      <c r="M6" s="6"/>
      <c r="N6" s="6"/>
      <c r="O6" s="6"/>
      <c r="P6" s="6"/>
      <c r="Q6" s="6"/>
      <c r="R6" s="6"/>
      <c r="S6" s="6"/>
      <c r="T6" s="6"/>
      <c r="U6" s="6"/>
      <c r="V6" s="6"/>
      <c r="W6" s="6"/>
      <c r="X6" s="6"/>
      <c r="Y6" s="6"/>
      <c r="Z6" s="6"/>
    </row>
    <row r="7" customFormat="false" ht="48.75" hidden="false" customHeight="true" outlineLevel="0" collapsed="false">
      <c r="A7" s="6"/>
      <c r="B7" s="7" t="s">
        <v>24</v>
      </c>
      <c r="C7" s="8" t="s">
        <v>25</v>
      </c>
      <c r="D7" s="7" t="s">
        <v>26</v>
      </c>
      <c r="E7" s="8" t="s">
        <v>14</v>
      </c>
      <c r="F7" s="8" t="n">
        <v>13</v>
      </c>
      <c r="G7" s="8" t="n">
        <v>13</v>
      </c>
      <c r="H7" s="9" t="n">
        <f aca="false">ROUND(F7/G7,2)</f>
        <v>1</v>
      </c>
      <c r="I7" s="8" t="s">
        <v>27</v>
      </c>
      <c r="J7" s="8" t="s">
        <v>22</v>
      </c>
      <c r="K7" s="8" t="s">
        <v>28</v>
      </c>
      <c r="L7" s="6"/>
      <c r="M7" s="6"/>
      <c r="N7" s="6"/>
      <c r="O7" s="6"/>
      <c r="P7" s="6"/>
      <c r="Q7" s="6"/>
      <c r="R7" s="6"/>
      <c r="S7" s="6"/>
      <c r="T7" s="6"/>
      <c r="U7" s="6"/>
      <c r="V7" s="6"/>
      <c r="W7" s="6"/>
      <c r="X7" s="6"/>
      <c r="Y7" s="6"/>
      <c r="Z7" s="6"/>
    </row>
    <row r="8" customFormat="false" ht="48.75" hidden="false" customHeight="true" outlineLevel="0" collapsed="false">
      <c r="A8" s="6"/>
      <c r="B8" s="7" t="s">
        <v>29</v>
      </c>
      <c r="C8" s="8" t="s">
        <v>30</v>
      </c>
      <c r="D8" s="10" t="s">
        <v>31</v>
      </c>
      <c r="E8" s="8" t="s">
        <v>14</v>
      </c>
      <c r="F8" s="8" t="n">
        <v>3</v>
      </c>
      <c r="G8" s="8" t="n">
        <v>2</v>
      </c>
      <c r="H8" s="9" t="n">
        <f aca="false">ROUND(F8/G8,2)</f>
        <v>1.5</v>
      </c>
      <c r="I8" s="8" t="s">
        <v>21</v>
      </c>
      <c r="J8" s="8" t="s">
        <v>16</v>
      </c>
      <c r="K8" s="8" t="s">
        <v>32</v>
      </c>
      <c r="L8" s="6"/>
      <c r="M8" s="6"/>
      <c r="N8" s="6"/>
      <c r="O8" s="6"/>
      <c r="P8" s="6"/>
      <c r="Q8" s="6"/>
      <c r="R8" s="6"/>
      <c r="S8" s="6"/>
      <c r="T8" s="6"/>
      <c r="U8" s="6"/>
      <c r="V8" s="6"/>
      <c r="W8" s="6"/>
      <c r="X8" s="6"/>
      <c r="Y8" s="6"/>
      <c r="Z8" s="6"/>
    </row>
    <row r="9" customFormat="false" ht="48.75" hidden="false" customHeight="true" outlineLevel="0" collapsed="false">
      <c r="A9" s="6"/>
      <c r="B9" s="7" t="s">
        <v>33</v>
      </c>
      <c r="C9" s="8" t="s">
        <v>34</v>
      </c>
      <c r="D9" s="7" t="s">
        <v>35</v>
      </c>
      <c r="E9" s="8" t="s">
        <v>14</v>
      </c>
      <c r="F9" s="8" t="n">
        <v>8</v>
      </c>
      <c r="G9" s="8" t="n">
        <v>5</v>
      </c>
      <c r="H9" s="9" t="n">
        <f aca="false">ROUND(F9/G9,2)</f>
        <v>1.6</v>
      </c>
      <c r="I9" s="8" t="s">
        <v>36</v>
      </c>
      <c r="J9" s="8" t="s">
        <v>22</v>
      </c>
      <c r="K9" s="8" t="s">
        <v>37</v>
      </c>
      <c r="L9" s="6"/>
      <c r="M9" s="6"/>
      <c r="N9" s="6"/>
      <c r="O9" s="6"/>
      <c r="P9" s="6"/>
      <c r="Q9" s="6"/>
      <c r="R9" s="6"/>
      <c r="S9" s="6"/>
      <c r="T9" s="6"/>
      <c r="U9" s="6"/>
      <c r="V9" s="6"/>
      <c r="W9" s="6"/>
      <c r="X9" s="6"/>
      <c r="Y9" s="6"/>
      <c r="Z9" s="6"/>
    </row>
    <row r="10" customFormat="false" ht="48.75" hidden="false" customHeight="true" outlineLevel="0" collapsed="false">
      <c r="A10" s="6"/>
      <c r="B10" s="7" t="s">
        <v>38</v>
      </c>
      <c r="C10" s="8" t="s">
        <v>39</v>
      </c>
      <c r="D10" s="10" t="s">
        <v>40</v>
      </c>
      <c r="E10" s="8" t="s">
        <v>14</v>
      </c>
      <c r="F10" s="8" t="n">
        <v>8</v>
      </c>
      <c r="G10" s="8" t="n">
        <v>5</v>
      </c>
      <c r="H10" s="9" t="n">
        <f aca="false">ROUND(F10/G10,2)</f>
        <v>1.6</v>
      </c>
      <c r="I10" s="8" t="s">
        <v>15</v>
      </c>
      <c r="J10" s="8" t="s">
        <v>22</v>
      </c>
      <c r="K10" s="8" t="s">
        <v>41</v>
      </c>
      <c r="L10" s="6"/>
      <c r="M10" s="6"/>
      <c r="N10" s="6"/>
      <c r="O10" s="6"/>
      <c r="P10" s="6"/>
      <c r="Q10" s="6"/>
      <c r="R10" s="6"/>
      <c r="S10" s="6"/>
      <c r="T10" s="6"/>
      <c r="U10" s="6"/>
      <c r="V10" s="6"/>
      <c r="W10" s="6"/>
      <c r="X10" s="6"/>
      <c r="Y10" s="6"/>
      <c r="Z10" s="6"/>
    </row>
    <row r="11" customFormat="false" ht="48.75" hidden="false" customHeight="true" outlineLevel="0" collapsed="false">
      <c r="A11" s="6"/>
      <c r="B11" s="7" t="s">
        <v>42</v>
      </c>
      <c r="C11" s="8" t="s">
        <v>43</v>
      </c>
      <c r="D11" s="7" t="s">
        <v>44</v>
      </c>
      <c r="E11" s="8" t="s">
        <v>14</v>
      </c>
      <c r="F11" s="8" t="n">
        <v>8</v>
      </c>
      <c r="G11" s="8" t="n">
        <v>5</v>
      </c>
      <c r="H11" s="9" t="n">
        <f aca="false">ROUND(F11/G11,2)</f>
        <v>1.6</v>
      </c>
      <c r="I11" s="8" t="s">
        <v>45</v>
      </c>
      <c r="J11" s="8" t="s">
        <v>22</v>
      </c>
      <c r="K11" s="8" t="s">
        <v>46</v>
      </c>
      <c r="L11" s="6"/>
      <c r="M11" s="6"/>
      <c r="N11" s="6"/>
      <c r="O11" s="6"/>
      <c r="P11" s="6"/>
      <c r="Q11" s="6"/>
      <c r="R11" s="6"/>
      <c r="S11" s="6"/>
      <c r="T11" s="6"/>
      <c r="U11" s="6"/>
      <c r="V11" s="6"/>
      <c r="W11" s="6"/>
      <c r="X11" s="6"/>
      <c r="Y11" s="6"/>
      <c r="Z11" s="6"/>
    </row>
    <row r="12" customFormat="false" ht="48.75" hidden="false" customHeight="true" outlineLevel="0" collapsed="false">
      <c r="A12" s="6"/>
      <c r="B12" s="7" t="s">
        <v>47</v>
      </c>
      <c r="C12" s="8" t="s">
        <v>48</v>
      </c>
      <c r="D12" s="10" t="s">
        <v>49</v>
      </c>
      <c r="E12" s="8" t="s">
        <v>14</v>
      </c>
      <c r="F12" s="8" t="n">
        <v>13</v>
      </c>
      <c r="G12" s="8" t="n">
        <v>8</v>
      </c>
      <c r="H12" s="9" t="n">
        <f aca="false">ROUND(F12/G12,2)</f>
        <v>1.63</v>
      </c>
      <c r="I12" s="8" t="s">
        <v>50</v>
      </c>
      <c r="J12" s="8" t="s">
        <v>22</v>
      </c>
      <c r="K12" s="8" t="s">
        <v>51</v>
      </c>
      <c r="L12" s="6"/>
      <c r="M12" s="6"/>
      <c r="N12" s="6"/>
      <c r="O12" s="6"/>
      <c r="P12" s="6"/>
      <c r="Q12" s="6"/>
      <c r="R12" s="6"/>
      <c r="S12" s="6"/>
      <c r="T12" s="6"/>
      <c r="U12" s="6"/>
      <c r="V12" s="6"/>
      <c r="W12" s="6"/>
      <c r="X12" s="6"/>
      <c r="Y12" s="6"/>
      <c r="Z12" s="6"/>
    </row>
    <row r="13" customFormat="false" ht="48.75" hidden="false" customHeight="true" outlineLevel="0" collapsed="false">
      <c r="A13" s="2"/>
      <c r="B13" s="7" t="s">
        <v>52</v>
      </c>
      <c r="C13" s="8" t="s">
        <v>53</v>
      </c>
      <c r="D13" s="10" t="s">
        <v>54</v>
      </c>
      <c r="E13" s="8" t="s">
        <v>14</v>
      </c>
      <c r="F13" s="8" t="n">
        <v>5</v>
      </c>
      <c r="G13" s="8" t="n">
        <v>3</v>
      </c>
      <c r="H13" s="9" t="n">
        <f aca="false">ROUND(F13/G13,2)</f>
        <v>1.67</v>
      </c>
      <c r="I13" s="8" t="s">
        <v>36</v>
      </c>
      <c r="J13" s="8" t="s">
        <v>22</v>
      </c>
      <c r="K13" s="8" t="s">
        <v>55</v>
      </c>
      <c r="L13" s="2"/>
      <c r="M13" s="2"/>
      <c r="N13" s="2"/>
      <c r="O13" s="2"/>
      <c r="P13" s="2"/>
      <c r="Q13" s="2"/>
      <c r="R13" s="2"/>
      <c r="S13" s="2"/>
      <c r="T13" s="2"/>
      <c r="U13" s="2"/>
      <c r="V13" s="2"/>
      <c r="W13" s="2"/>
      <c r="X13" s="2"/>
      <c r="Y13" s="2"/>
      <c r="Z13" s="2"/>
    </row>
    <row r="14" customFormat="false" ht="48.75" hidden="false" customHeight="true" outlineLevel="0" collapsed="false">
      <c r="A14" s="2"/>
      <c r="B14" s="7" t="s">
        <v>56</v>
      </c>
      <c r="C14" s="8" t="s">
        <v>57</v>
      </c>
      <c r="D14" s="10" t="s">
        <v>58</v>
      </c>
      <c r="E14" s="8" t="s">
        <v>14</v>
      </c>
      <c r="F14" s="8" t="n">
        <v>5</v>
      </c>
      <c r="G14" s="8" t="n">
        <v>3</v>
      </c>
      <c r="H14" s="9" t="n">
        <f aca="false">ROUND(F14/G14,2)</f>
        <v>1.67</v>
      </c>
      <c r="I14" s="8" t="s">
        <v>45</v>
      </c>
      <c r="J14" s="8" t="s">
        <v>16</v>
      </c>
      <c r="K14" s="8" t="s">
        <v>59</v>
      </c>
      <c r="L14" s="2"/>
      <c r="M14" s="2"/>
      <c r="N14" s="2"/>
      <c r="O14" s="2"/>
      <c r="P14" s="2"/>
      <c r="Q14" s="2"/>
      <c r="R14" s="2"/>
      <c r="S14" s="2"/>
      <c r="T14" s="2"/>
      <c r="U14" s="2"/>
      <c r="V14" s="2"/>
      <c r="W14" s="2"/>
      <c r="X14" s="2"/>
      <c r="Y14" s="2"/>
      <c r="Z14" s="2"/>
    </row>
    <row r="15" customFormat="false" ht="48.75" hidden="false" customHeight="true" outlineLevel="0" collapsed="false">
      <c r="A15" s="2"/>
      <c r="B15" s="7" t="s">
        <v>60</v>
      </c>
      <c r="C15" s="8" t="s">
        <v>61</v>
      </c>
      <c r="D15" s="10" t="s">
        <v>62</v>
      </c>
      <c r="E15" s="8" t="s">
        <v>14</v>
      </c>
      <c r="F15" s="8" t="n">
        <v>10</v>
      </c>
      <c r="G15" s="8" t="n">
        <v>5</v>
      </c>
      <c r="H15" s="9" t="n">
        <f aca="false">ROUND(F15/G15,2)</f>
        <v>2</v>
      </c>
      <c r="I15" s="8" t="s">
        <v>63</v>
      </c>
      <c r="J15" s="8" t="s">
        <v>64</v>
      </c>
      <c r="K15" s="8" t="s">
        <v>65</v>
      </c>
      <c r="L15" s="2"/>
      <c r="M15" s="2"/>
      <c r="N15" s="2"/>
      <c r="O15" s="2"/>
      <c r="P15" s="2"/>
      <c r="Q15" s="2"/>
      <c r="R15" s="2"/>
      <c r="S15" s="2"/>
      <c r="T15" s="2"/>
      <c r="U15" s="2"/>
      <c r="V15" s="2"/>
      <c r="W15" s="2"/>
      <c r="X15" s="2"/>
      <c r="Y15" s="2"/>
      <c r="Z15" s="2"/>
    </row>
    <row r="16" customFormat="false" ht="48.75" hidden="false" customHeight="true" outlineLevel="0" collapsed="false">
      <c r="A16" s="2"/>
      <c r="B16" s="7" t="s">
        <v>66</v>
      </c>
      <c r="C16" s="8" t="s">
        <v>67</v>
      </c>
      <c r="D16" s="10" t="s">
        <v>68</v>
      </c>
      <c r="E16" s="8" t="s">
        <v>14</v>
      </c>
      <c r="F16" s="8" t="n">
        <v>10</v>
      </c>
      <c r="G16" s="8" t="n">
        <v>5</v>
      </c>
      <c r="H16" s="9" t="n">
        <f aca="false">ROUND(F16/G16,2)</f>
        <v>2</v>
      </c>
      <c r="I16" s="8" t="s">
        <v>50</v>
      </c>
      <c r="J16" s="8" t="s">
        <v>64</v>
      </c>
      <c r="K16" s="8" t="s">
        <v>69</v>
      </c>
      <c r="L16" s="2"/>
      <c r="M16" s="2"/>
      <c r="N16" s="2"/>
      <c r="O16" s="2"/>
      <c r="P16" s="2"/>
      <c r="Q16" s="2"/>
      <c r="R16" s="2"/>
      <c r="S16" s="2"/>
      <c r="T16" s="2"/>
      <c r="U16" s="2"/>
      <c r="V16" s="2"/>
      <c r="W16" s="2"/>
      <c r="X16" s="2"/>
      <c r="Y16" s="2"/>
      <c r="Z16" s="2"/>
    </row>
    <row r="17" customFormat="false" ht="48.75" hidden="false" customHeight="true" outlineLevel="0" collapsed="false">
      <c r="A17" s="2"/>
      <c r="B17" s="7" t="s">
        <v>70</v>
      </c>
      <c r="C17" s="8" t="s">
        <v>71</v>
      </c>
      <c r="D17" s="10" t="s">
        <v>72</v>
      </c>
      <c r="E17" s="8" t="s">
        <v>14</v>
      </c>
      <c r="F17" s="8" t="n">
        <v>13</v>
      </c>
      <c r="G17" s="8" t="n">
        <v>5</v>
      </c>
      <c r="H17" s="9" t="n">
        <f aca="false">ROUND(F17/G17,2)</f>
        <v>2.6</v>
      </c>
      <c r="I17" s="8" t="s">
        <v>73</v>
      </c>
      <c r="J17" s="8" t="s">
        <v>64</v>
      </c>
      <c r="K17" s="8" t="s">
        <v>74</v>
      </c>
      <c r="L17" s="2"/>
      <c r="M17" s="2"/>
      <c r="N17" s="2"/>
      <c r="O17" s="2"/>
      <c r="P17" s="2"/>
      <c r="Q17" s="2"/>
      <c r="R17" s="2"/>
      <c r="S17" s="2"/>
      <c r="T17" s="2"/>
      <c r="U17" s="2"/>
      <c r="V17" s="2"/>
      <c r="W17" s="2"/>
      <c r="X17" s="2"/>
      <c r="Y17" s="2"/>
      <c r="Z17" s="2"/>
    </row>
    <row r="18" customFormat="false" ht="48.75" hidden="false" customHeight="true" outlineLevel="0" collapsed="false">
      <c r="A18" s="2"/>
      <c r="B18" s="7" t="s">
        <v>75</v>
      </c>
      <c r="C18" s="8" t="s">
        <v>76</v>
      </c>
      <c r="D18" s="10" t="s">
        <v>77</v>
      </c>
      <c r="E18" s="8" t="s">
        <v>14</v>
      </c>
      <c r="F18" s="8" t="n">
        <v>13</v>
      </c>
      <c r="G18" s="8" t="n">
        <v>5</v>
      </c>
      <c r="H18" s="9" t="n">
        <f aca="false">ROUND(F18/G18,2)</f>
        <v>2.6</v>
      </c>
      <c r="I18" s="8" t="s">
        <v>63</v>
      </c>
      <c r="J18" s="8" t="s">
        <v>64</v>
      </c>
      <c r="K18" s="8" t="s">
        <v>78</v>
      </c>
      <c r="L18" s="2"/>
      <c r="M18" s="2"/>
      <c r="N18" s="2"/>
      <c r="O18" s="2"/>
      <c r="P18" s="2"/>
      <c r="Q18" s="2"/>
      <c r="R18" s="2"/>
      <c r="S18" s="2"/>
      <c r="T18" s="2"/>
      <c r="U18" s="2"/>
      <c r="V18" s="2"/>
      <c r="W18" s="2"/>
      <c r="X18" s="2"/>
      <c r="Y18" s="2"/>
      <c r="Z18" s="2"/>
    </row>
    <row r="19" customFormat="false" ht="48.75" hidden="false" customHeight="true" outlineLevel="0" collapsed="false">
      <c r="A19" s="2"/>
      <c r="B19" s="7" t="s">
        <v>79</v>
      </c>
      <c r="C19" s="8" t="s">
        <v>80</v>
      </c>
      <c r="D19" s="10" t="s">
        <v>81</v>
      </c>
      <c r="E19" s="8" t="s">
        <v>14</v>
      </c>
      <c r="F19" s="8" t="n">
        <v>8</v>
      </c>
      <c r="G19" s="8" t="n">
        <v>3</v>
      </c>
      <c r="H19" s="9" t="n">
        <f aca="false">ROUND(F19/G19,2)</f>
        <v>2.67</v>
      </c>
      <c r="I19" s="8" t="s">
        <v>36</v>
      </c>
      <c r="J19" s="8" t="s">
        <v>64</v>
      </c>
      <c r="K19" s="8" t="s">
        <v>82</v>
      </c>
      <c r="L19" s="2"/>
      <c r="M19" s="2"/>
      <c r="N19" s="2"/>
      <c r="O19" s="2"/>
      <c r="P19" s="2"/>
      <c r="Q19" s="2"/>
      <c r="R19" s="2"/>
      <c r="S19" s="2"/>
      <c r="T19" s="2"/>
      <c r="U19" s="2"/>
      <c r="V19" s="2"/>
      <c r="W19" s="2"/>
      <c r="X19" s="2"/>
      <c r="Y19" s="2"/>
      <c r="Z19" s="2"/>
    </row>
    <row r="20" customFormat="false" ht="48.75" hidden="false" customHeight="true" outlineLevel="0" collapsed="false">
      <c r="A20" s="2"/>
      <c r="B20" s="7" t="s">
        <v>83</v>
      </c>
      <c r="C20" s="8" t="s">
        <v>84</v>
      </c>
      <c r="D20" s="10" t="s">
        <v>85</v>
      </c>
      <c r="E20" s="8" t="s">
        <v>14</v>
      </c>
      <c r="F20" s="8" t="n">
        <v>8</v>
      </c>
      <c r="G20" s="8" t="n">
        <v>3</v>
      </c>
      <c r="H20" s="9" t="n">
        <f aca="false">ROUND(F20/G20,2)</f>
        <v>2.67</v>
      </c>
      <c r="I20" s="8" t="s">
        <v>45</v>
      </c>
      <c r="J20" s="8" t="s">
        <v>22</v>
      </c>
      <c r="K20" s="8" t="s">
        <v>86</v>
      </c>
      <c r="L20" s="2"/>
      <c r="M20" s="2"/>
      <c r="N20" s="2"/>
      <c r="O20" s="2"/>
      <c r="P20" s="2"/>
      <c r="Q20" s="2"/>
      <c r="R20" s="2"/>
      <c r="S20" s="2"/>
      <c r="T20" s="2"/>
      <c r="U20" s="2"/>
      <c r="V20" s="2"/>
      <c r="W20" s="2"/>
      <c r="X20" s="2"/>
      <c r="Y20" s="2"/>
      <c r="Z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false" gridLines="false" gridLinesSet="true" horizontalCentered="false" verticalCentered="false"/>
  <pageMargins left="0.236111111111111" right="0.236111111111111" top="0.747916666666667" bottom="0.747916666666667" header="0.511811023622047" footer="0.511811023622047"/>
  <pageSetup paperSize="1" scale="7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1" width="1.57"/>
    <col collapsed="false" customWidth="true" hidden="false" outlineLevel="0" max="2" min="2" style="1" width="27.71"/>
    <col collapsed="false" customWidth="true" hidden="false" outlineLevel="0" max="3" min="3" style="1" width="86"/>
    <col collapsed="false" customWidth="true" hidden="false" outlineLevel="0" max="4" min="4" style="1" width="2.86"/>
    <col collapsed="false" customWidth="true" hidden="false" outlineLevel="0" max="6" min="5" style="1" width="11.43"/>
    <col collapsed="false" customWidth="true" hidden="false" outlineLevel="0" max="26" min="7" style="1" width="10.71"/>
  </cols>
  <sheetData>
    <row r="1" customFormat="false" ht="33.75" hidden="false" customHeight="true" outlineLevel="0" collapsed="false">
      <c r="A1" s="2"/>
      <c r="B1" s="3" t="s">
        <v>87</v>
      </c>
      <c r="C1" s="2"/>
      <c r="D1" s="2"/>
      <c r="E1" s="2"/>
      <c r="F1" s="2"/>
      <c r="G1" s="2"/>
      <c r="H1" s="2"/>
      <c r="I1" s="2"/>
      <c r="J1" s="2"/>
      <c r="K1" s="2"/>
      <c r="L1" s="2"/>
      <c r="M1" s="2"/>
      <c r="N1" s="2"/>
      <c r="O1" s="2"/>
      <c r="P1" s="2"/>
      <c r="Q1" s="2"/>
      <c r="R1" s="2"/>
      <c r="S1" s="2"/>
      <c r="T1" s="2"/>
      <c r="U1" s="2"/>
      <c r="V1" s="2"/>
      <c r="W1" s="2"/>
      <c r="X1" s="2"/>
      <c r="Y1" s="2"/>
      <c r="Z1" s="2"/>
    </row>
    <row r="2" customFormat="false" ht="19.5" hidden="false" customHeight="true" outlineLevel="0" collapsed="false">
      <c r="A2" s="2"/>
      <c r="B2" s="4"/>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5" hidden="false" customHeight="true" outlineLevel="0" collapsed="false">
      <c r="A4" s="2"/>
      <c r="B4" s="11" t="s">
        <v>88</v>
      </c>
      <c r="C4" s="11" t="s">
        <v>89</v>
      </c>
      <c r="D4" s="2"/>
      <c r="E4" s="2"/>
      <c r="F4" s="2"/>
      <c r="G4" s="2"/>
      <c r="H4" s="2"/>
      <c r="I4" s="2"/>
      <c r="J4" s="2"/>
      <c r="K4" s="2"/>
      <c r="L4" s="2"/>
      <c r="M4" s="2"/>
      <c r="N4" s="2"/>
      <c r="O4" s="2"/>
      <c r="P4" s="2"/>
      <c r="Q4" s="2"/>
      <c r="R4" s="2"/>
      <c r="S4" s="2"/>
      <c r="T4" s="2"/>
      <c r="U4" s="2"/>
      <c r="V4" s="2"/>
      <c r="W4" s="2"/>
      <c r="X4" s="2"/>
      <c r="Y4" s="2"/>
      <c r="Z4" s="2"/>
    </row>
    <row r="5" customFormat="false" ht="41.25" hidden="false" customHeight="true" outlineLevel="0" collapsed="false">
      <c r="A5" s="2"/>
      <c r="B5" s="12" t="s">
        <v>1</v>
      </c>
      <c r="C5" s="12" t="s">
        <v>90</v>
      </c>
      <c r="D5" s="2"/>
      <c r="E5" s="2"/>
      <c r="F5" s="2"/>
      <c r="G5" s="2"/>
      <c r="H5" s="2"/>
      <c r="I5" s="2"/>
      <c r="J5" s="2"/>
      <c r="K5" s="2"/>
      <c r="L5" s="2"/>
      <c r="M5" s="2"/>
      <c r="N5" s="2"/>
      <c r="O5" s="2"/>
      <c r="P5" s="2"/>
      <c r="Q5" s="2"/>
      <c r="R5" s="2"/>
      <c r="S5" s="2"/>
      <c r="T5" s="2"/>
      <c r="U5" s="2"/>
      <c r="V5" s="2"/>
      <c r="W5" s="2"/>
      <c r="X5" s="2"/>
      <c r="Y5" s="2"/>
      <c r="Z5" s="2"/>
    </row>
    <row r="6" customFormat="false" ht="68.25" hidden="false" customHeight="true" outlineLevel="0" collapsed="false">
      <c r="A6" s="2"/>
      <c r="B6" s="12" t="s">
        <v>2</v>
      </c>
      <c r="C6" s="12" t="s">
        <v>91</v>
      </c>
      <c r="D6" s="2"/>
      <c r="E6" s="2"/>
      <c r="F6" s="2"/>
      <c r="G6" s="2"/>
      <c r="H6" s="2"/>
      <c r="I6" s="2"/>
      <c r="J6" s="2"/>
      <c r="K6" s="2"/>
      <c r="L6" s="2"/>
      <c r="M6" s="2"/>
      <c r="N6" s="2"/>
      <c r="O6" s="2"/>
      <c r="P6" s="2"/>
      <c r="Q6" s="2"/>
      <c r="R6" s="2"/>
      <c r="S6" s="2"/>
      <c r="T6" s="2"/>
      <c r="U6" s="2"/>
      <c r="V6" s="2"/>
      <c r="W6" s="2"/>
      <c r="X6" s="2"/>
      <c r="Y6" s="2"/>
      <c r="Z6" s="2"/>
    </row>
    <row r="7" customFormat="false" ht="41.25" hidden="false" customHeight="true" outlineLevel="0" collapsed="false">
      <c r="A7" s="2"/>
      <c r="B7" s="12" t="s">
        <v>3</v>
      </c>
      <c r="C7" s="12" t="s">
        <v>92</v>
      </c>
      <c r="D7" s="2"/>
      <c r="E7" s="2"/>
      <c r="F7" s="2"/>
      <c r="G7" s="2"/>
      <c r="H7" s="2"/>
      <c r="I7" s="2"/>
      <c r="J7" s="2"/>
      <c r="K7" s="2"/>
      <c r="L7" s="2"/>
      <c r="M7" s="2"/>
      <c r="N7" s="2"/>
      <c r="O7" s="2"/>
      <c r="P7" s="2"/>
      <c r="Q7" s="2"/>
      <c r="R7" s="2"/>
      <c r="S7" s="2"/>
      <c r="T7" s="2"/>
      <c r="U7" s="2"/>
      <c r="V7" s="2"/>
      <c r="W7" s="2"/>
      <c r="X7" s="2"/>
      <c r="Y7" s="2"/>
      <c r="Z7" s="2"/>
    </row>
    <row r="8" customFormat="false" ht="202.5" hidden="false" customHeight="true" outlineLevel="0" collapsed="false">
      <c r="A8" s="2"/>
      <c r="B8" s="12" t="s">
        <v>4</v>
      </c>
      <c r="C8" s="12" t="s">
        <v>93</v>
      </c>
      <c r="D8" s="2"/>
      <c r="E8" s="2"/>
      <c r="F8" s="2"/>
      <c r="G8" s="2"/>
      <c r="H8" s="2"/>
      <c r="I8" s="2"/>
      <c r="J8" s="2"/>
      <c r="K8" s="2"/>
      <c r="L8" s="2"/>
      <c r="M8" s="2"/>
      <c r="N8" s="2"/>
      <c r="O8" s="2"/>
      <c r="P8" s="2"/>
      <c r="Q8" s="2"/>
      <c r="R8" s="2"/>
      <c r="S8" s="2"/>
      <c r="T8" s="2"/>
      <c r="U8" s="2"/>
      <c r="V8" s="2"/>
      <c r="W8" s="2"/>
      <c r="X8" s="2"/>
      <c r="Y8" s="2"/>
      <c r="Z8" s="2"/>
    </row>
    <row r="9" customFormat="false" ht="15" hidden="false" customHeight="true" outlineLevel="0" collapsed="false">
      <c r="A9" s="2"/>
      <c r="B9" s="12" t="s">
        <v>5</v>
      </c>
      <c r="C9" s="12" t="s">
        <v>94</v>
      </c>
      <c r="D9" s="2"/>
      <c r="E9" s="2"/>
      <c r="F9" s="2"/>
      <c r="G9" s="2"/>
      <c r="H9" s="2"/>
      <c r="I9" s="2"/>
      <c r="J9" s="2"/>
      <c r="K9" s="2"/>
      <c r="L9" s="2"/>
      <c r="M9" s="2"/>
      <c r="N9" s="2"/>
      <c r="O9" s="2"/>
      <c r="P9" s="2"/>
      <c r="Q9" s="2"/>
      <c r="R9" s="2"/>
      <c r="S9" s="2"/>
      <c r="T9" s="2"/>
      <c r="U9" s="2"/>
      <c r="V9" s="2"/>
      <c r="W9" s="2"/>
      <c r="X9" s="2"/>
      <c r="Y9" s="2"/>
      <c r="Z9" s="2"/>
    </row>
    <row r="10" customFormat="false" ht="50.25" hidden="false" customHeight="true" outlineLevel="0" collapsed="false">
      <c r="A10" s="2"/>
      <c r="B10" s="12" t="s">
        <v>95</v>
      </c>
      <c r="C10" s="12" t="s">
        <v>96</v>
      </c>
      <c r="D10" s="2"/>
      <c r="E10" s="2"/>
      <c r="F10" s="2"/>
      <c r="G10" s="2"/>
      <c r="H10" s="2"/>
      <c r="I10" s="2"/>
      <c r="J10" s="2"/>
      <c r="K10" s="2"/>
      <c r="L10" s="2"/>
      <c r="M10" s="2"/>
      <c r="N10" s="2"/>
      <c r="O10" s="2"/>
      <c r="P10" s="2"/>
      <c r="Q10" s="2"/>
      <c r="R10" s="2"/>
      <c r="S10" s="2"/>
      <c r="T10" s="2"/>
      <c r="U10" s="2"/>
      <c r="V10" s="2"/>
      <c r="W10" s="2"/>
      <c r="X10" s="2"/>
      <c r="Y10" s="2"/>
      <c r="Z10" s="2"/>
    </row>
    <row r="11" customFormat="false" ht="50.25" hidden="false" customHeight="true" outlineLevel="0" collapsed="false">
      <c r="A11" s="2"/>
      <c r="B11" s="12" t="s">
        <v>7</v>
      </c>
      <c r="C11" s="12" t="s">
        <v>97</v>
      </c>
      <c r="D11" s="2"/>
      <c r="E11" s="2"/>
      <c r="F11" s="2"/>
      <c r="G11" s="2"/>
      <c r="H11" s="2"/>
      <c r="I11" s="2"/>
      <c r="J11" s="2"/>
      <c r="K11" s="2"/>
      <c r="L11" s="2"/>
      <c r="M11" s="2"/>
      <c r="N11" s="2"/>
      <c r="O11" s="2"/>
      <c r="P11" s="2"/>
      <c r="Q11" s="2"/>
      <c r="R11" s="2"/>
      <c r="S11" s="2"/>
      <c r="T11" s="2"/>
      <c r="U11" s="2"/>
      <c r="V11" s="2"/>
      <c r="W11" s="2"/>
      <c r="X11" s="2"/>
      <c r="Y11" s="2"/>
      <c r="Z11" s="2"/>
    </row>
    <row r="12" customFormat="false" ht="54.75" hidden="false" customHeight="true" outlineLevel="0" collapsed="false">
      <c r="A12" s="2"/>
      <c r="B12" s="12" t="s">
        <v>8</v>
      </c>
      <c r="C12" s="12" t="s">
        <v>98</v>
      </c>
      <c r="D12" s="2"/>
      <c r="E12" s="2"/>
      <c r="F12" s="2"/>
      <c r="G12" s="2"/>
      <c r="H12" s="2"/>
      <c r="I12" s="2"/>
      <c r="J12" s="2"/>
      <c r="K12" s="2"/>
      <c r="L12" s="2"/>
      <c r="M12" s="2"/>
      <c r="N12" s="2"/>
      <c r="O12" s="2"/>
      <c r="P12" s="2"/>
      <c r="Q12" s="2"/>
      <c r="R12" s="2"/>
      <c r="S12" s="2"/>
      <c r="T12" s="2"/>
      <c r="U12" s="2"/>
      <c r="V12" s="2"/>
      <c r="W12" s="2"/>
      <c r="X12" s="2"/>
      <c r="Y12" s="2"/>
      <c r="Z12" s="2"/>
    </row>
    <row r="13" customFormat="false" ht="54.75" hidden="false" customHeight="true" outlineLevel="0" collapsed="false">
      <c r="A13" s="2"/>
      <c r="B13" s="12" t="s">
        <v>9</v>
      </c>
      <c r="C13" s="12" t="s">
        <v>99</v>
      </c>
      <c r="D13" s="2"/>
      <c r="E13" s="2"/>
      <c r="F13" s="2"/>
      <c r="G13" s="2"/>
      <c r="H13" s="2"/>
      <c r="I13" s="2"/>
      <c r="J13" s="2"/>
      <c r="K13" s="2"/>
      <c r="L13" s="2"/>
      <c r="M13" s="2"/>
      <c r="N13" s="2"/>
      <c r="O13" s="2"/>
      <c r="P13" s="2"/>
      <c r="Q13" s="2"/>
      <c r="R13" s="2"/>
      <c r="S13" s="2"/>
      <c r="T13" s="2"/>
      <c r="U13" s="2"/>
      <c r="V13" s="2"/>
      <c r="W13" s="2"/>
      <c r="X13" s="2"/>
      <c r="Y13" s="2"/>
      <c r="Z13" s="2"/>
    </row>
    <row r="14" customFormat="false" ht="27.75" hidden="false" customHeight="true" outlineLevel="0" collapsed="false">
      <c r="A14" s="2"/>
      <c r="B14" s="12" t="s">
        <v>10</v>
      </c>
      <c r="C14" s="12" t="s">
        <v>100</v>
      </c>
      <c r="D14" s="2"/>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
  <dcterms:modified xsi:type="dcterms:W3CDTF">2026-10-02T12:07:00Z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