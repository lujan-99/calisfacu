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Métricas" sheetId="1" state="visible" r:id="rId1"/>
    <sheet xmlns:r="http://schemas.openxmlformats.org/officeDocument/2006/relationships" name="Riesgos" sheetId="2" state="visible" r:id="rId2"/>
    <sheet xmlns:r="http://schemas.openxmlformats.org/officeDocument/2006/relationships" name="SLA" sheetId="3" state="visible" r:id="rId3"/>
    <sheet xmlns:r="http://schemas.openxmlformats.org/officeDocument/2006/relationships" name="Componentes de terceros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FF1F4E79"/>
      <sz val="14"/>
    </font>
    <font>
      <name val="Calibri"/>
      <i val="1"/>
      <color rgb="FF767171"/>
      <sz val="10"/>
    </font>
    <font>
      <name val="Calibri"/>
      <b val="1"/>
      <sz val="11"/>
    </font>
    <font>
      <name val="Calibri"/>
      <i val="1"/>
      <color rgb="FF767171"/>
      <sz val="11"/>
    </font>
    <font>
      <name val="Calibri"/>
      <family val="2"/>
      <i val="1"/>
      <color theme="1"/>
      <sz val="11"/>
    </font>
  </fonts>
  <fills count="3">
    <fill>
      <patternFill/>
    </fill>
    <fill>
      <patternFill patternType="gray125"/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center"/>
    </xf>
    <xf numFmtId="0" fontId="5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9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/>
  </cellStyles>
  <dxfs count="3">
    <dxf>
      <fill>
        <patternFill patternType="solid">
          <fgColor rgb="FFE2EFDA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8CBA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tabSelected="1" topLeftCell="B1" workbookViewId="0">
      <pane ySplit="4" topLeftCell="A5" activePane="bottomLeft" state="frozen"/>
      <selection pane="bottomLeft" activeCell="J5" sqref="J5"/>
    </sheetView>
  </sheetViews>
  <sheetFormatPr baseColWidth="10" defaultColWidth="8.88671875" defaultRowHeight="14.4"/>
  <cols>
    <col width="24" customWidth="1" min="1" max="1"/>
    <col width="20" customWidth="1" min="2" max="2"/>
    <col width="30" customWidth="1" min="3" max="4"/>
    <col width="20" customWidth="1" min="5" max="5"/>
    <col width="26" customWidth="1" min="6" max="6"/>
    <col width="20" customWidth="1" min="7" max="7"/>
    <col width="16" customWidth="1" min="8" max="8"/>
    <col width="12" customWidth="1" min="9" max="9"/>
    <col width="16" customWidth="1" min="10" max="10"/>
    <col width="30" customWidth="1" min="11" max="11"/>
  </cols>
  <sheetData>
    <row r="1" ht="18" customHeight="1">
      <c r="A1" s="1" t="inlineStr">
        <is>
          <t>Métricas de calidad (Sección 5 del SQAP)</t>
        </is>
      </c>
    </row>
    <row r="2">
      <c r="A2" s="2" t="inlineStr">
        <is>
          <t>Métricas de CalisFacu. Deben coincidir con la Sección 5 del SQAP y con la configuración de las herramientas.</t>
        </is>
      </c>
    </row>
    <row r="4" ht="28.8" customHeight="1">
      <c r="A4" s="3" t="inlineStr">
        <is>
          <t>Característica ISO/IEC 25010</t>
        </is>
      </c>
      <c r="B4" s="3" t="inlineStr">
        <is>
          <t>Subcaracterística</t>
        </is>
      </c>
      <c r="C4" s="3" t="inlineStr">
        <is>
          <t>Métrica</t>
        </is>
      </c>
      <c r="D4" s="3" t="inlineStr">
        <is>
          <t>Fórmula</t>
        </is>
      </c>
      <c r="E4" s="3" t="inlineStr">
        <is>
          <t>Instrumento / práctica</t>
        </is>
      </c>
      <c r="F4" s="3" t="inlineStr">
        <is>
          <t>Condiciones</t>
        </is>
      </c>
      <c r="G4" s="3" t="inlineStr">
        <is>
          <t>Momento</t>
        </is>
      </c>
      <c r="H4" s="3" t="inlineStr">
        <is>
          <t>Valor objetivo</t>
        </is>
      </c>
      <c r="I4" s="3" t="inlineStr">
        <is>
          <t>RNF o riesgo</t>
        </is>
      </c>
      <c r="J4" s="3" t="inlineStr">
        <is>
          <t>Responsable</t>
        </is>
      </c>
      <c r="K4" s="3" t="inlineStr">
        <is>
          <t>Dónde se configura el umbral</t>
        </is>
      </c>
    </row>
    <row r="5" ht="28.8" customHeight="1">
      <c r="A5" s="11" t="inlineStr">
        <is>
          <t>Adecuación funcional</t>
        </is>
      </c>
      <c r="B5" s="11" t="inlineStr">
        <is>
          <t>Corrección</t>
        </is>
      </c>
      <c r="C5" s="11" t="inlineStr">
        <is>
          <t>M01 · % de pruebas unitarias de Cálculo de promedios que pasan</t>
        </is>
      </c>
      <c r="D5" s="11" t="inlineStr">
        <is>
          <t>pruebas en verde / pruebas totales</t>
        </is>
      </c>
      <c r="E5" s="11" t="inlineStr">
        <is>
          <t>PHPUnit (P1)</t>
        </is>
      </c>
      <c r="F5" s="11" t="inlineStr">
        <is>
          <t>Suite completa</t>
        </is>
      </c>
      <c r="G5" s="11" t="inlineStr">
        <is>
          <t>Cada build</t>
        </is>
      </c>
      <c r="H5" s="11" t="inlineStr">
        <is>
          <t>100 %</t>
        </is>
      </c>
      <c r="I5" s="11" t="inlineStr">
        <is>
          <t>RNF-01</t>
        </is>
      </c>
      <c r="J5" s="11" t="inlineStr">
        <is>
          <t>Desarrollador backend (Lujan)</t>
        </is>
      </c>
      <c r="K5" s="11" t="inlineStr">
        <is>
          <t>Jenkinsfile: etapa Pruebas + junit</t>
        </is>
      </c>
    </row>
    <row r="6" ht="28.8" customHeight="1">
      <c r="A6" s="11" t="inlineStr">
        <is>
          <t>Adecuación funcional</t>
        </is>
      </c>
      <c r="B6" s="11" t="inlineStr">
        <is>
          <t>Completitud</t>
        </is>
      </c>
      <c r="C6" s="11" t="inlineStr">
        <is>
          <t>M02 · % de escenarios E2E de Registrar calificación y Exportar PDF que pasan</t>
        </is>
      </c>
      <c r="D6" s="11" t="inlineStr">
        <is>
          <t>escenarios en verde / escenarios totales</t>
        </is>
      </c>
      <c r="E6" s="11" t="inlineStr">
        <is>
          <t>Cypress (P4)</t>
        </is>
      </c>
      <c r="F6" s="11" t="inlineStr">
        <is>
          <t>Staging con datos sintéticos</t>
        </is>
      </c>
      <c r="G6" s="11" t="inlineStr">
        <is>
          <t>Cada release candidate</t>
        </is>
      </c>
      <c r="H6" s="11" t="inlineStr">
        <is>
          <t>100 %</t>
        </is>
      </c>
      <c r="I6" s="11" t="inlineStr">
        <is>
          <t>RNF-02</t>
        </is>
      </c>
      <c r="J6" s="11" t="inlineStr">
        <is>
          <t>Tester (Galvan)</t>
        </is>
      </c>
      <c r="K6" s="11" t="inlineStr">
        <is>
          <t>Jenkinsfile: etapa E2E (npx cypress run)</t>
        </is>
      </c>
    </row>
    <row r="7" ht="28.8" customHeight="1">
      <c r="A7" s="11" t="inlineStr">
        <is>
          <t>Eficiencia de desempeño</t>
        </is>
      </c>
      <c r="B7" s="11" t="inlineStr">
        <is>
          <t>Comportamiento temporal</t>
        </is>
      </c>
      <c r="C7" s="11" t="inlineStr">
        <is>
          <t>M03 · p95 del tiempo de respuesta de Exportar historial a PDF</t>
        </is>
      </c>
      <c r="D7" s="11" t="inlineStr">
        <is>
          <t>percentil 95 de los tiempos medidos</t>
        </is>
      </c>
      <c r="E7" s="11" t="inlineStr">
        <is>
          <t>JMeter (P5)</t>
        </is>
      </c>
      <c r="F7" s="11" t="inlineStr">
        <is>
          <t>100 usuarios concurrentes, 10 min, staging</t>
        </is>
      </c>
      <c r="G7" s="11" t="inlineStr">
        <is>
          <t>Cada release candidate</t>
        </is>
      </c>
      <c r="H7" s="11" t="inlineStr">
        <is>
          <t>≤ 2000 ms</t>
        </is>
      </c>
      <c r="I7" s="11" t="inlineStr">
        <is>
          <t>RNF-03</t>
        </is>
      </c>
      <c r="J7" s="11" t="inlineStr">
        <is>
          <t>Tester (Galvan)</t>
        </is>
      </c>
      <c r="K7" s="11" t="inlineStr">
        <is>
          <t>Jenkinsfile: etapa Rendimiento, jq -e ".Total.pct2ResTime &lt;= 2000"</t>
        </is>
      </c>
    </row>
    <row r="8" ht="28.8" customHeight="1">
      <c r="A8" s="11" t="inlineStr">
        <is>
          <t>Eficiencia de desempeño</t>
        </is>
      </c>
      <c r="B8" s="11" t="inlineStr">
        <is>
          <t>Capacidad</t>
        </is>
      </c>
      <c r="C8" s="11" t="inlineStr">
        <is>
          <t>M04 · Tasa de error al registrar notas bajo carga</t>
        </is>
      </c>
      <c r="D8" s="11" t="inlineStr">
        <is>
          <t>peticiones fallidas / peticiones totales</t>
        </is>
      </c>
      <c r="E8" s="11" t="inlineStr">
        <is>
          <t>JMeter (P5)</t>
        </is>
      </c>
      <c r="F8" s="11" t="inlineStr">
        <is>
          <t>100 usuarios concurrentes, 10 min, staging</t>
        </is>
      </c>
      <c r="G8" s="11" t="inlineStr">
        <is>
          <t>Cada release candidate</t>
        </is>
      </c>
      <c r="H8" s="11" t="inlineStr">
        <is>
          <t>&lt; 1 %</t>
        </is>
      </c>
      <c r="I8" s="11" t="inlineStr">
        <is>
          <t>R05</t>
        </is>
      </c>
      <c r="J8" s="11" t="inlineStr">
        <is>
          <t>Tester (Galvan)</t>
        </is>
      </c>
      <c r="K8" s="11" t="inlineStr">
        <is>
          <t>Jenkinsfile: etapa Rendimiento, jq -e ".Total.errorPct &lt; 1"</t>
        </is>
      </c>
    </row>
    <row r="9" ht="28.8" customHeight="1">
      <c r="A9" s="11" t="inlineStr">
        <is>
          <t>Mantenibilidad</t>
        </is>
      </c>
      <c r="B9" s="11" t="inlineStr">
        <is>
          <t>Capacidad de prueba</t>
        </is>
      </c>
      <c r="C9" s="11" t="inlineStr">
        <is>
          <t>M05 · Cobertura de líneas del código nuevo</t>
        </is>
      </c>
      <c r="D9" s="11" t="inlineStr">
        <is>
          <t>líneas nuevas cubiertas / líneas nuevas</t>
        </is>
      </c>
      <c r="E9" s="11" t="inlineStr">
        <is>
          <t>PHPUnit + PCOV, SonarQube (P3)</t>
        </is>
      </c>
      <c r="F9" s="11" t="inlineStr">
        <is>
          <t>Código nuevo del pull request</t>
        </is>
      </c>
      <c r="G9" s="11" t="inlineStr">
        <is>
          <t>Cada pull request</t>
        </is>
      </c>
      <c r="H9" s="11" t="inlineStr">
        <is>
          <t>≥ 80 %</t>
        </is>
      </c>
      <c r="I9" s="11" t="inlineStr">
        <is>
          <t>R03</t>
        </is>
      </c>
      <c r="J9" s="11" t="inlineStr">
        <is>
          <t>Responsable SQA (Galvan)</t>
        </is>
      </c>
      <c r="K9" s="11" t="inlineStr">
        <is>
          <t>Quality Gate: Coverage on New Code is less than 80.0</t>
        </is>
      </c>
    </row>
    <row r="10" ht="28.8" customHeight="1">
      <c r="A10" s="11" t="inlineStr">
        <is>
          <t>Mantenibilidad</t>
        </is>
      </c>
      <c r="B10" s="11" t="inlineStr">
        <is>
          <t>Capacidad de prueba</t>
        </is>
      </c>
      <c r="C10" s="11" t="inlineStr">
        <is>
          <t>M06 · Cobertura de líneas del módulo crítico Cálculo de promedios</t>
        </is>
      </c>
      <c r="D10" s="11" t="inlineStr">
        <is>
          <t>líneas cubiertas / líneas del módulo</t>
        </is>
      </c>
      <c r="E10" s="11" t="inlineStr">
        <is>
          <t>PHPUnit + PCOV (P1, P6)</t>
        </is>
      </c>
      <c r="F10" s="11" t="inlineStr">
        <is>
          <t>Filtro app/Services/Promedios</t>
        </is>
      </c>
      <c r="G10" s="11" t="inlineStr">
        <is>
          <t>Cada build</t>
        </is>
      </c>
      <c r="H10" s="11" t="inlineStr">
        <is>
          <t>≥ 90 %</t>
        </is>
      </c>
      <c r="I10" s="11" t="inlineStr">
        <is>
          <t>RNF-01</t>
        </is>
      </c>
      <c r="J10" s="11" t="inlineStr">
        <is>
          <t>Responsable SQA (Galvan)</t>
        </is>
      </c>
      <c r="K10" s="11" t="inlineStr">
        <is>
          <t>Jenkinsfile: etapa Cobertura, coverage-check build/promedios.xml 90</t>
        </is>
      </c>
    </row>
    <row r="11">
      <c r="A11" s="11" t="inlineStr">
        <is>
          <t>Mantenibilidad</t>
        </is>
      </c>
      <c r="B11" s="11" t="inlineStr">
        <is>
          <t>Modificabilidad</t>
        </is>
      </c>
      <c r="C11" s="11" t="inlineStr">
        <is>
          <t>M07 · Líneas duplicadas en código nuevo</t>
        </is>
      </c>
      <c r="D11" s="11" t="inlineStr">
        <is>
          <t>líneas duplicadas / líneas nuevas</t>
        </is>
      </c>
      <c r="E11" s="11" t="inlineStr">
        <is>
          <t>SonarQube (P3)</t>
        </is>
      </c>
      <c r="F11" s="11" t="inlineStr">
        <is>
          <t>Código nuevo del pull request</t>
        </is>
      </c>
      <c r="G11" s="11" t="inlineStr">
        <is>
          <t>Cada pull request</t>
        </is>
      </c>
      <c r="H11" s="11" t="inlineStr">
        <is>
          <t>≤ 3 %</t>
        </is>
      </c>
      <c r="I11" s="11" t="inlineStr">
        <is>
          <t>RNF-05</t>
        </is>
      </c>
      <c r="J11" s="11" t="inlineStr">
        <is>
          <t>Responsable SQA (Galvan)</t>
        </is>
      </c>
      <c r="K11" s="11" t="inlineStr">
        <is>
          <t>Quality Gate: Duplicated Lines (%) on New Code is greater than 3.0</t>
        </is>
      </c>
    </row>
    <row r="12">
      <c r="A12" s="11" t="inlineStr">
        <is>
          <t>Seguridad</t>
        </is>
      </c>
      <c r="B12" s="11" t="inlineStr">
        <is>
          <t>Confidencialidad</t>
        </is>
      </c>
      <c r="C12" s="11" t="inlineStr">
        <is>
          <t>M08 · Vulnerabilidades conocidas</t>
        </is>
      </c>
      <c r="D12" s="11" t="inlineStr">
        <is>
          <t>conteo en código nuevo y en dependencias</t>
        </is>
      </c>
      <c r="E12" s="11" t="inlineStr">
        <is>
          <t>SonarQube (P3) + composer audit</t>
        </is>
      </c>
      <c r="F12" s="11" t="inlineStr">
        <is>
          <t>Código nuevo y composer.lock</t>
        </is>
      </c>
      <c r="G12" s="11" t="inlineStr">
        <is>
          <t>Cada pull request</t>
        </is>
      </c>
      <c r="H12" s="11" t="inlineStr">
        <is>
          <t>0</t>
        </is>
      </c>
      <c r="I12" s="11" t="inlineStr">
        <is>
          <t>RNF-04</t>
        </is>
      </c>
      <c r="J12" s="11" t="inlineStr">
        <is>
          <t>Responsable SQA (Galvan)</t>
        </is>
      </c>
      <c r="K12" s="11" t="inlineStr">
        <is>
          <t>Quality Gate: Security Rating on New Code is worse than A; Jenkinsfile: composer audit</t>
        </is>
      </c>
    </row>
    <row r="13">
      <c r="A13" s="11" t="inlineStr">
        <is>
          <t>Seguridad</t>
        </is>
      </c>
      <c r="B13" s="11" t="inlineStr">
        <is>
          <t>Integridad</t>
        </is>
      </c>
      <c r="C13" s="11" t="inlineStr">
        <is>
          <t>M09 · % de rutas de escritura de calificaciones que rechazan (403) a un usuario sin rol Docente</t>
        </is>
      </c>
      <c r="D13" s="11" t="inlineStr">
        <is>
          <t>rutas que rechazan / rutas de escritura</t>
        </is>
      </c>
      <c r="E13" s="11" t="inlineStr">
        <is>
          <t>PHPUnit, feature tests (P1)</t>
        </is>
      </c>
      <c r="F13" s="11" t="inlineStr">
        <is>
          <t>Suite Autorizacion</t>
        </is>
      </c>
      <c r="G13" s="11" t="inlineStr">
        <is>
          <t>Cada build</t>
        </is>
      </c>
      <c r="H13" s="11" t="inlineStr">
        <is>
          <t>100 %</t>
        </is>
      </c>
      <c r="I13" s="11" t="inlineStr">
        <is>
          <t>RNF-04</t>
        </is>
      </c>
      <c r="J13" s="11" t="inlineStr">
        <is>
          <t>Desarrollador backend (Lujan)</t>
        </is>
      </c>
      <c r="K13" s="11" t="inlineStr">
        <is>
          <t>Jenkinsfile: etapa Pruebas</t>
        </is>
      </c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</row>
  </sheetData>
  <pageMargins left="0.75" right="0.75" top="1" bottom="1" header="0.5" footer="0.5"/>
  <pageSetup orientation="portrait" paperSize="9" horizontalDpi="0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pane ySplit="4" topLeftCell="A5" activePane="bottomLeft" state="frozen"/>
      <selection pane="bottomLeft" activeCell="A1" sqref="A1"/>
    </sheetView>
  </sheetViews>
  <sheetFormatPr baseColWidth="10" defaultColWidth="8.88671875" defaultRowHeight="14.4"/>
  <cols>
    <col width="6" customWidth="1" min="1" max="1"/>
    <col width="34" customWidth="1" min="2" max="2"/>
    <col width="14" customWidth="1" min="3" max="3"/>
    <col width="13" customWidth="1" min="4" max="4"/>
    <col width="12" customWidth="1" min="5" max="5"/>
    <col width="11" customWidth="1" min="6" max="6"/>
    <col width="10" customWidth="1" min="7" max="7"/>
    <col width="44" customWidth="1" min="8" max="8"/>
    <col width="14" customWidth="1" min="9" max="9"/>
    <col width="28" customWidth="1" min="10" max="10"/>
    <col width="34" customWidth="1" min="11" max="11"/>
  </cols>
  <sheetData>
    <row r="1" ht="18" customHeight="1">
      <c r="A1" s="1" t="inlineStr">
        <is>
          <t>Matriz de riesgos de calidad (Sección 14 del SQAP)</t>
        </is>
      </c>
    </row>
    <row r="2">
      <c r="A2" s="2" t="inlineStr">
        <is>
          <t>Probabilidad e impacto de 1 (bajo) a 3 (alto). Exposición y nivel se calculan solos: 1-2 bajo, 3-4 medio, 6-9 alto. Todo riesgo alto necesita mitigación accionable.</t>
        </is>
      </c>
    </row>
    <row r="4" ht="28.8" customHeight="1">
      <c r="A4" s="3" t="inlineStr">
        <is>
          <t>ID</t>
        </is>
      </c>
      <c r="B4" s="3" t="inlineStr">
        <is>
          <t>Riesgo</t>
        </is>
      </c>
      <c r="C4" s="3" t="inlineStr">
        <is>
          <t>Categoría</t>
        </is>
      </c>
      <c r="D4" s="3" t="inlineStr">
        <is>
          <t>Probabilidad (1-3)</t>
        </is>
      </c>
      <c r="E4" s="3" t="inlineStr">
        <is>
          <t>Impacto (1-3)</t>
        </is>
      </c>
      <c r="F4" s="3" t="inlineStr">
        <is>
          <t>Exposición</t>
        </is>
      </c>
      <c r="G4" s="3" t="inlineStr">
        <is>
          <t>Nivel</t>
        </is>
      </c>
      <c r="H4" s="3" t="inlineStr">
        <is>
          <t>Mitigación accionable (qué, quién, cuándo)</t>
        </is>
      </c>
      <c r="I4" s="3" t="inlineStr">
        <is>
          <t>Responsable</t>
        </is>
      </c>
      <c r="J4" s="3" t="inlineStr">
        <is>
          <t>Disparador</t>
        </is>
      </c>
      <c r="K4" s="3" t="inlineStr">
        <is>
          <t>Plan de contingencia</t>
        </is>
      </c>
    </row>
    <row r="5" ht="43.2" customHeight="1">
      <c r="A5" s="5" t="inlineStr">
        <is>
          <t>R01</t>
        </is>
      </c>
      <c r="B5" s="5" t="inlineStr">
        <is>
          <t>Abandono o ausencia prolongada de un integrante (equipo de dos)</t>
        </is>
      </c>
      <c r="C5" s="5" t="inlineStr">
        <is>
          <t>Personas</t>
        </is>
      </c>
      <c r="D5" s="5" t="n">
        <v>3</v>
      </c>
      <c r="E5" s="5" t="n">
        <v>3</v>
      </c>
      <c r="F5" s="5">
        <f>IF(OR(D5="",E5=""),"",D5*E5)</f>
        <v/>
      </c>
      <c r="G5" s="5">
        <f>IF(F5="","",IF(F5&gt;=6,"Alto",IF(F5&gt;=3,"Medio","Bajo")))</f>
        <v/>
      </c>
      <c r="H5" s="5" t="inlineStr">
        <is>
          <t>Cada historia se documenta en la wiki del repositorio antes de cerrarse; todo PR lo revisa el otro integrante; sesión semanal de pair programming sobre los módulos críticos</t>
        </is>
      </c>
      <c r="I5" s="5" t="inlineStr">
        <is>
          <t>Lujan (Líder)</t>
        </is>
      </c>
      <c r="J5" s="5" t="inlineStr">
        <is>
          <t>Un integrante sin commits ni asistencia durante 5 días hábiles</t>
        </is>
      </c>
      <c r="K5" s="5" t="inlineStr">
        <is>
          <t>El otro integrante asume el módulo; se renegocia el alcance con el docente priorizando Registrar calificación y Calcular promedios</t>
        </is>
      </c>
    </row>
    <row r="6" ht="28.8" customHeight="1">
      <c r="A6" s="5" t="inlineStr">
        <is>
          <t>R02</t>
        </is>
      </c>
      <c r="B6" s="5" t="inlineStr">
        <is>
          <t>Reglas de cálculo de promedios ambiguas (ponderaciones, redondeo)</t>
        </is>
      </c>
      <c r="C6" s="5" t="inlineStr">
        <is>
          <t>Requerimientos</t>
        </is>
      </c>
      <c r="D6" s="5" t="n">
        <v>2</v>
      </c>
      <c r="E6" s="5" t="n">
        <v>3</v>
      </c>
      <c r="F6" s="5">
        <f>IF(OR(D6="",E6=""),"",D6*E6)</f>
        <v/>
      </c>
      <c r="G6" s="5">
        <f>IF(F6="","",IF(F6&gt;=6,"Alto",IF(F6&gt;=3,"Medio","Bajo")))</f>
        <v/>
      </c>
      <c r="H6" s="5" t="inlineStr">
        <is>
          <t>Validar el reglamento de evaluación con el cliente en la semana 1; tabla de casos de prueba con resultados esperados firmada por el cliente antes del sprint 2</t>
        </is>
      </c>
      <c r="I6" s="5" t="inlineStr">
        <is>
          <t>Lujan (Líder)</t>
        </is>
      </c>
      <c r="J6" s="5" t="inlineStr">
        <is>
          <t>Un caso de prueba de promedios sin resultado esperado acordado</t>
        </is>
      </c>
      <c r="K6" s="5" t="inlineStr">
        <is>
          <t>Sesión de aclaración con el cliente en 48 h; la regla se congela hasta tener acta</t>
        </is>
      </c>
    </row>
    <row r="7" ht="28.8" customHeight="1">
      <c r="A7" s="5" t="inlineStr">
        <is>
          <t>R03</t>
        </is>
      </c>
      <c r="B7" s="5" t="inlineStr">
        <is>
          <t>Deuda técnica por presión de cronograma</t>
        </is>
      </c>
      <c r="C7" s="5" t="inlineStr">
        <is>
          <t>Técnico</t>
        </is>
      </c>
      <c r="D7" s="5" t="n">
        <v>2</v>
      </c>
      <c r="E7" s="5" t="n">
        <v>3</v>
      </c>
      <c r="F7" s="5">
        <f>IF(OR(D7="",E7=""),"",D7*E7)</f>
        <v/>
      </c>
      <c r="G7" s="5">
        <f>IF(F7="","",IF(F7&gt;=6,"Alto",IF(F7&gt;=3,"Medio","Bajo")))</f>
        <v/>
      </c>
      <c r="H7" s="5" t="inlineStr">
        <is>
          <t>Quality Gate bloqueante (M05, M07); 10 % de cada sprint reservado para refactorizar</t>
        </is>
      </c>
      <c r="I7" s="5" t="inlineStr">
        <is>
          <t>Galvan (SQA)</t>
        </is>
      </c>
      <c r="J7" s="5" t="inlineStr">
        <is>
          <t>Quality Gate en rojo en 2 pull requests seguidos</t>
        </is>
      </c>
      <c r="K7" s="5" t="inlineStr">
        <is>
          <t>Sprint de estabilización sin historias nuevas</t>
        </is>
      </c>
    </row>
    <row r="8" ht="28.8" customHeight="1">
      <c r="A8" s="5" t="inlineStr">
        <is>
          <t>R04</t>
        </is>
      </c>
      <c r="B8" s="5" t="inlineStr">
        <is>
          <t>Falla del servidor de integración continua</t>
        </is>
      </c>
      <c r="C8" s="5" t="inlineStr">
        <is>
          <t>Herramientas</t>
        </is>
      </c>
      <c r="D8" s="5" t="n">
        <v>1</v>
      </c>
      <c r="E8" s="5" t="n">
        <v>2</v>
      </c>
      <c r="F8" s="5">
        <f>IF(OR(D8="",E8=""),"",D8*E8)</f>
        <v/>
      </c>
      <c r="G8" s="5">
        <f>IF(F8="","",IF(F8&gt;=6,"Alto",IF(F8&gt;=3,"Medio","Bajo")))</f>
        <v/>
      </c>
      <c r="H8" s="5" t="inlineStr">
        <is>
          <t>Jenkinsfile y docker-compose versionados; reinstalación probada en la semana 2</t>
        </is>
      </c>
      <c r="I8" s="5" t="inlineStr">
        <is>
          <t>Galvan (SQA)</t>
        </is>
      </c>
      <c r="J8" s="5" t="inlineStr">
        <is>
          <t>Jenkins caído más de 2 h</t>
        </is>
      </c>
      <c r="K8" s="5" t="inlineStr">
        <is>
          <t>Ejecutar en local las mismas etapas del Jenkinsfile</t>
        </is>
      </c>
    </row>
    <row r="9">
      <c r="A9" s="5" t="inlineStr">
        <is>
          <t>R05</t>
        </is>
      </c>
      <c r="B9" s="5" t="inlineStr">
        <is>
          <t>Lentitud o caída en el cierre de notas por concurrencia (generación de PDF con DomPDF)</t>
        </is>
      </c>
      <c r="C9" s="5" t="inlineStr">
        <is>
          <t>Técnico</t>
        </is>
      </c>
      <c r="D9" s="5" t="n">
        <v>3</v>
      </c>
      <c r="E9" s="5" t="n">
        <v>3</v>
      </c>
      <c r="F9" s="5">
        <f>IF(OR(D9="",E9=""),"",D9*E9)</f>
        <v/>
      </c>
      <c r="G9" s="5">
        <f>IF(F9="","",IF(F9&gt;=6,"Alto",IF(F9&gt;=3,"Medio","Bajo")))</f>
        <v/>
      </c>
      <c r="H9" s="5" t="inlineStr">
        <is>
          <t>Generar el PDF en una cola de Laravel (Queue) para materias de más de 50 estudiantes antes del RC2; prueba de carga en cada release candidate (M03, M04)</t>
        </is>
      </c>
      <c r="I9" s="5" t="inlineStr">
        <is>
          <t>Lujan (Dev backend)</t>
        </is>
      </c>
      <c r="J9" s="5" t="inlineStr">
        <is>
          <t>p95 &gt; 2000 ms o tasa de error ≥ 1 % en la etapa Rendimiento</t>
        </is>
      </c>
      <c r="K9" s="5" t="inlineStr">
        <is>
          <t>Exportación diferida: el PDF se genera en segundo plano y se envía por correo al docente</t>
        </is>
      </c>
    </row>
    <row r="10">
      <c r="A10" s="5" t="inlineStr">
        <is>
          <t>R06</t>
        </is>
      </c>
      <c r="B10" s="5" t="inlineStr">
        <is>
          <t>Vulnerabilidad crítica en una dependencia de Composer o npm</t>
        </is>
      </c>
      <c r="C10" s="5" t="inlineStr">
        <is>
          <t>Proveedores</t>
        </is>
      </c>
      <c r="D10" s="5" t="n">
        <v>2</v>
      </c>
      <c r="E10" s="5" t="n">
        <v>3</v>
      </c>
      <c r="F10" s="5">
        <f>IF(OR(D10="",E10=""),"",D10*E10)</f>
        <v/>
      </c>
      <c r="G10" s="5">
        <f>IF(F10="","",IF(F10&gt;=6,"Alto",IF(F10&gt;=3,"Medio","Bajo")))</f>
        <v/>
      </c>
      <c r="H10" s="5" t="inlineStr">
        <is>
          <t>Dependabot activo y composer audit en cada PR (M08); revisión mensual de dependencias el primer lunes de cada mes</t>
        </is>
      </c>
      <c r="I10" s="5" t="inlineStr">
        <is>
          <t>Lujan (Arquitecto)</t>
        </is>
      </c>
      <c r="J10" s="5" t="inlineStr">
        <is>
          <t>Alerta de Dependabot alta o crítica, o composer audit en rojo</t>
        </is>
      </c>
      <c r="K10" s="5" t="inlineStr">
        <is>
          <t>Fijar la última versión segura o aplicar el parche en 48 h</t>
        </is>
      </c>
    </row>
    <row r="11">
      <c r="A11" s="5" t="inlineStr">
        <is>
          <t>R07</t>
        </is>
      </c>
      <c r="B11" s="5" t="inlineStr">
        <is>
          <t>Datos de prueba con calificaciones reales de estudiantes</t>
        </is>
      </c>
      <c r="C11" s="5" t="inlineStr">
        <is>
          <t>Datos</t>
        </is>
      </c>
      <c r="D11" s="5" t="n">
        <v>1</v>
      </c>
      <c r="E11" s="5" t="n">
        <v>3</v>
      </c>
      <c r="F11" s="5">
        <f>IF(OR(D11="",E11=""),"",D11*E11)</f>
        <v/>
      </c>
      <c r="G11" s="5">
        <f>IF(F11="","",IF(F11&gt;=6,"Alto",IF(F11&gt;=3,"Medio","Bajo")))</f>
        <v/>
      </c>
      <c r="H11" s="5" t="inlineStr">
        <is>
          <t>Seeders y factories con datos sintéticos versionados; prohibido copiar la base real</t>
        </is>
      </c>
      <c r="I11" s="5" t="inlineStr">
        <is>
          <t>Galvan (SQA)</t>
        </is>
      </c>
      <c r="J11" s="5" t="inlineStr">
        <is>
          <t>Aparece un nombre o CI real en staging o en el repositorio</t>
        </is>
      </c>
      <c r="K11" s="5" t="inlineStr">
        <is>
          <t>Borrar los datos, rotar credenciales e informar al docente</t>
        </is>
      </c>
    </row>
    <row r="12">
      <c r="A12" s="5" t="n"/>
      <c r="B12" s="5" t="n"/>
      <c r="C12" s="5" t="n"/>
      <c r="D12" s="5" t="n"/>
      <c r="E12" s="5" t="n"/>
      <c r="F12" s="5">
        <f>IF(OR(D12="",E12=""),"",D12*E12)</f>
        <v/>
      </c>
      <c r="G12" s="5">
        <f>IF(F12="","",IF(F12&gt;=6,"Alto",IF(F12&gt;=3,"Medio","Bajo")))</f>
        <v/>
      </c>
      <c r="H12" s="5" t="n"/>
      <c r="I12" s="5" t="n"/>
      <c r="J12" s="5" t="n"/>
      <c r="K12" s="5" t="n"/>
    </row>
    <row r="13">
      <c r="A13" s="5" t="n"/>
      <c r="B13" s="5" t="n"/>
      <c r="C13" s="5" t="n"/>
      <c r="D13" s="5" t="n"/>
      <c r="E13" s="5" t="n"/>
      <c r="F13" s="5">
        <f>IF(OR(D13="",E13=""),"",D13*E13)</f>
        <v/>
      </c>
      <c r="G13" s="5">
        <f>IF(F13="","",IF(F13&gt;=6,"Alto",IF(F13&gt;=3,"Medio","Bajo")))</f>
        <v/>
      </c>
      <c r="H13" s="5" t="n"/>
      <c r="I13" s="5" t="n"/>
      <c r="J13" s="5" t="n"/>
      <c r="K13" s="5" t="n"/>
    </row>
    <row r="14">
      <c r="A14" s="5" t="n"/>
      <c r="B14" s="5" t="n"/>
      <c r="C14" s="5" t="n"/>
      <c r="D14" s="5" t="n"/>
      <c r="E14" s="5" t="n"/>
      <c r="F14" s="5">
        <f>IF(OR(D14="",E14=""),"",D14*E14)</f>
        <v/>
      </c>
      <c r="G14" s="5">
        <f>IF(F14="","",IF(F14&gt;=6,"Alto",IF(F14&gt;=3,"Medio","Bajo")))</f>
        <v/>
      </c>
      <c r="H14" s="5" t="n"/>
      <c r="I14" s="5" t="n"/>
      <c r="J14" s="5" t="n"/>
      <c r="K14" s="5" t="n"/>
    </row>
    <row r="15">
      <c r="A15" s="5" t="n"/>
      <c r="B15" s="5" t="n"/>
      <c r="C15" s="5" t="n"/>
      <c r="D15" s="5" t="n"/>
      <c r="E15" s="5" t="n"/>
      <c r="F15" s="5">
        <f>IF(OR(D15="",E15=""),"",D15*E15)</f>
        <v/>
      </c>
      <c r="G15" s="5">
        <f>IF(F15="","",IF(F15&gt;=6,"Alto",IF(F15&gt;=3,"Medio","Bajo")))</f>
        <v/>
      </c>
      <c r="H15" s="5" t="n"/>
      <c r="I15" s="5" t="n"/>
      <c r="J15" s="5" t="n"/>
      <c r="K15" s="5" t="n"/>
    </row>
    <row r="16">
      <c r="A16" s="5" t="n"/>
      <c r="B16" s="5" t="n"/>
      <c r="C16" s="5" t="n"/>
      <c r="D16" s="5" t="n"/>
      <c r="E16" s="5" t="n"/>
      <c r="F16" s="5">
        <f>IF(OR(D16="",E16=""),"",D16*E16)</f>
        <v/>
      </c>
      <c r="G16" s="5">
        <f>IF(F16="","",IF(F16&gt;=6,"Alto",IF(F16&gt;=3,"Medio","Bajo")))</f>
        <v/>
      </c>
      <c r="H16" s="5" t="n"/>
      <c r="I16" s="5" t="n"/>
      <c r="J16" s="5" t="n"/>
      <c r="K16" s="5" t="n"/>
    </row>
    <row r="17">
      <c r="A17" s="5" t="n"/>
      <c r="B17" s="5" t="n"/>
      <c r="C17" s="5" t="n"/>
      <c r="D17" s="5" t="n"/>
      <c r="E17" s="5" t="n"/>
      <c r="F17" s="5">
        <f>IF(OR(D17="",E17=""),"",D17*E17)</f>
        <v/>
      </c>
      <c r="G17" s="5">
        <f>IF(F17="","",IF(F17&gt;=6,"Alto",IF(F17&gt;=3,"Medio","Bajo")))</f>
        <v/>
      </c>
      <c r="H17" s="5" t="n"/>
      <c r="I17" s="5" t="n"/>
      <c r="J17" s="5" t="n"/>
      <c r="K17" s="5" t="n"/>
    </row>
    <row r="18">
      <c r="A18" s="5" t="n"/>
      <c r="B18" s="5" t="n"/>
      <c r="C18" s="5" t="n"/>
      <c r="D18" s="5" t="n"/>
      <c r="E18" s="5" t="n"/>
      <c r="F18" s="5">
        <f>IF(OR(D18="",E18=""),"",D18*E18)</f>
        <v/>
      </c>
      <c r="G18" s="5">
        <f>IF(F18="","",IF(F18&gt;=6,"Alto",IF(F18&gt;=3,"Medio","Bajo")))</f>
        <v/>
      </c>
      <c r="H18" s="5" t="n"/>
      <c r="I18" s="5" t="n"/>
      <c r="J18" s="5" t="n"/>
      <c r="K18" s="5" t="n"/>
    </row>
    <row r="19">
      <c r="A19" s="5" t="n"/>
      <c r="B19" s="5" t="n"/>
      <c r="C19" s="5" t="n"/>
      <c r="D19" s="5" t="n"/>
      <c r="E19" s="5" t="n"/>
      <c r="F19" s="5">
        <f>IF(OR(D19="",E19=""),"",D19*E19)</f>
        <v/>
      </c>
      <c r="G19" s="5">
        <f>IF(F19="","",IF(F19&gt;=6,"Alto",IF(F19&gt;=3,"Medio","Bajo")))</f>
        <v/>
      </c>
      <c r="H19" s="5" t="n"/>
      <c r="I19" s="5" t="n"/>
      <c r="J19" s="5" t="n"/>
      <c r="K19" s="5" t="n"/>
    </row>
    <row r="20">
      <c r="A20" s="5" t="n"/>
      <c r="B20" s="5" t="n"/>
      <c r="C20" s="5" t="n"/>
      <c r="D20" s="5" t="n"/>
      <c r="E20" s="5" t="n"/>
      <c r="F20" s="5">
        <f>IF(OR(D20="",E20=""),"",D20*E20)</f>
        <v/>
      </c>
      <c r="G20" s="5">
        <f>IF(F20="","",IF(F20&gt;=6,"Alto",IF(F20&gt;=3,"Medio","Bajo")))</f>
        <v/>
      </c>
      <c r="H20" s="5" t="n"/>
      <c r="I20" s="5" t="n"/>
      <c r="J20" s="5" t="n"/>
      <c r="K20" s="5" t="n"/>
    </row>
    <row r="21">
      <c r="A21" s="5" t="n"/>
      <c r="B21" s="5" t="n"/>
      <c r="C21" s="5" t="n"/>
      <c r="D21" s="5" t="n"/>
      <c r="E21" s="5" t="n"/>
      <c r="F21" s="5">
        <f>IF(OR(D21="",E21=""),"",D21*E21)</f>
        <v/>
      </c>
      <c r="G21" s="5">
        <f>IF(F21="","",IF(F21&gt;=6,"Alto",IF(F21&gt;=3,"Medio","Bajo")))</f>
        <v/>
      </c>
      <c r="H21" s="5" t="n"/>
      <c r="I21" s="5" t="n"/>
      <c r="J21" s="5" t="n"/>
      <c r="K21" s="5" t="n"/>
    </row>
    <row r="22">
      <c r="A22" s="5" t="n"/>
      <c r="B22" s="5" t="n"/>
      <c r="C22" s="5" t="n"/>
      <c r="D22" s="5" t="n"/>
      <c r="E22" s="5" t="n"/>
      <c r="F22" s="5">
        <f>IF(OR(D22="",E22=""),"",D22*E22)</f>
        <v/>
      </c>
      <c r="G22" s="5">
        <f>IF(F22="","",IF(F22&gt;=6,"Alto",IF(F22&gt;=3,"Medio","Bajo")))</f>
        <v/>
      </c>
      <c r="H22" s="5" t="n"/>
      <c r="I22" s="5" t="n"/>
      <c r="J22" s="5" t="n"/>
      <c r="K22" s="5" t="n"/>
    </row>
    <row r="23">
      <c r="A23" s="5" t="n"/>
      <c r="B23" s="5" t="n"/>
      <c r="C23" s="5" t="n"/>
      <c r="D23" s="5" t="n"/>
      <c r="E23" s="5" t="n"/>
      <c r="F23" s="5">
        <f>IF(OR(D23="",E23=""),"",D23*E23)</f>
        <v/>
      </c>
      <c r="G23" s="5">
        <f>IF(F23="","",IF(F23&gt;=6,"Alto",IF(F23&gt;=3,"Medio","Bajo")))</f>
        <v/>
      </c>
      <c r="H23" s="5" t="n"/>
      <c r="I23" s="5" t="n"/>
      <c r="J23" s="5" t="n"/>
      <c r="K23" s="5" t="n"/>
    </row>
  </sheetData>
  <conditionalFormatting sqref="G5:G23">
    <cfRule type="cellIs" priority="1" operator="equal" dxfId="2">
      <formula>"Alto"</formula>
    </cfRule>
    <cfRule type="cellIs" priority="2" operator="equal" dxfId="1">
      <formula>"Medio"</formula>
    </cfRule>
    <cfRule type="cellIs" priority="3" operator="equal" dxfId="0">
      <formula>"Bajo"</formula>
    </cfRule>
  </conditionalFormatting>
  <dataValidations count="1">
    <dataValidation sqref="D5:E23" showDropDown="0" showInputMessage="0" showErrorMessage="1" allowBlank="0" errorTitle="Valor inválido" error="Usa un número entero de 1 a 3." type="whole">
      <formula1>1</formula1>
      <formula2>3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4" topLeftCell="A5" activePane="bottomLeft" state="frozen"/>
      <selection pane="bottomLeft" activeCell="A1" sqref="A1"/>
    </sheetView>
  </sheetViews>
  <sheetFormatPr baseColWidth="10" defaultColWidth="8.88671875" defaultRowHeight="14.4"/>
  <cols>
    <col width="14" customWidth="1" min="1" max="1"/>
    <col width="40" customWidth="1" min="2" max="3"/>
    <col width="18" customWidth="1" min="4" max="6"/>
  </cols>
  <sheetData>
    <row r="1" ht="18" customHeight="1">
      <c r="A1" s="1" t="inlineStr">
        <is>
          <t>SLA de gestión de defectos (Sección 8 del SQAP)</t>
        </is>
      </c>
    </row>
    <row r="2">
      <c r="A2" s="2" t="inlineStr">
        <is>
          <t>Tiempos en horario hábil (lunes a viernes, 8:00 a 18:00). Leído de arriba hacia abajo, cada tiempo es igual o mayor que el de la fila anterior.</t>
        </is>
      </c>
    </row>
    <row r="4" ht="28.8" customHeight="1">
      <c r="A4" s="3" t="inlineStr">
        <is>
          <t>Severidad</t>
        </is>
      </c>
      <c r="B4" s="3" t="inlineStr">
        <is>
          <t>Definición</t>
        </is>
      </c>
      <c r="C4" s="3" t="inlineStr">
        <is>
          <t>Ejemplo en el proyecto</t>
        </is>
      </c>
      <c r="D4" s="3" t="inlineStr">
        <is>
          <t>Tiempo de respuesta</t>
        </is>
      </c>
      <c r="E4" s="3" t="inlineStr">
        <is>
          <t>Tiempo de resolución</t>
        </is>
      </c>
      <c r="F4" s="3" t="inlineStr">
        <is>
          <t>Quién atiende</t>
        </is>
      </c>
    </row>
    <row r="5">
      <c r="A5" s="5" t="inlineStr">
        <is>
          <t>Crítica (S1)</t>
        </is>
      </c>
      <c r="B5" s="5" t="inlineStr">
        <is>
          <t>El sistema es inusable o hay pérdida o corrupción de calificaciones</t>
        </is>
      </c>
      <c r="C5" s="5" t="inlineStr">
        <is>
          <t>Un promedio se guarda con un valor incorrecto</t>
        </is>
      </c>
      <c r="D5" s="5" t="inlineStr">
        <is>
          <t>4 horas hábiles</t>
        </is>
      </c>
      <c r="E5" s="5" t="inlineStr">
        <is>
          <t>1 día hábil</t>
        </is>
      </c>
      <c r="F5" s="5" t="inlineStr">
        <is>
          <t>Lujan (de guardia en la semana de cierre de notas)</t>
        </is>
      </c>
    </row>
    <row r="6" ht="28.8" customHeight="1">
      <c r="A6" s="5" t="inlineStr">
        <is>
          <t>Alta (S2)</t>
        </is>
      </c>
      <c r="B6" s="5" t="inlineStr">
        <is>
          <t>Funcionalidad principal afectada sin alternativa y sin pérdida de datos</t>
        </is>
      </c>
      <c r="C6" s="5" t="inlineStr">
        <is>
          <t>Exportar PDF falla en materias de más de 50 estudiantes (CAL-001)</t>
        </is>
      </c>
      <c r="D6" s="5" t="inlineStr">
        <is>
          <t>1 día hábil</t>
        </is>
      </c>
      <c r="E6" s="5" t="inlineStr">
        <is>
          <t>2 días hábiles</t>
        </is>
      </c>
      <c r="F6" s="5" t="inlineStr">
        <is>
          <t>Desarrollador del módulo</t>
        </is>
      </c>
    </row>
    <row r="7" ht="28.8" customHeight="1">
      <c r="A7" s="5" t="inlineStr">
        <is>
          <t>Media (S3)</t>
        </is>
      </c>
      <c r="B7" s="5" t="inlineStr">
        <is>
          <t>Funcionalidad secundaria afectada o existe alternativa</t>
        </is>
      </c>
      <c r="C7" s="5" t="inlineStr">
        <is>
          <t>El filtro por gestión falla, pero la materia se encuentra por nombre</t>
        </is>
      </c>
      <c r="D7" s="5" t="inlineStr">
        <is>
          <t>1 día hábil</t>
        </is>
      </c>
      <c r="E7" s="5" t="inlineStr">
        <is>
          <t>1 semana</t>
        </is>
      </c>
      <c r="F7" s="5" t="inlineStr">
        <is>
          <t>Asignado en la planificación semanal</t>
        </is>
      </c>
    </row>
    <row r="8" ht="28.8" customHeight="1">
      <c r="A8" s="5" t="inlineStr">
        <is>
          <t>Baja (S4)</t>
        </is>
      </c>
      <c r="B8" s="5" t="inlineStr">
        <is>
          <t>Defecto cosmético o mejora menor</t>
        </is>
      </c>
      <c r="C8" s="5" t="inlineStr">
        <is>
          <t>Texto desalineado en el pie del PDF</t>
        </is>
      </c>
      <c r="D8" s="5" t="inlineStr">
        <is>
          <t>3 días hábiles</t>
        </is>
      </c>
      <c r="E8" s="5" t="inlineStr">
        <is>
          <t>Siguiente sprint</t>
        </is>
      </c>
      <c r="F8" s="5" t="inlineStr">
        <is>
          <t>Asignado en la planificación del sprint</t>
        </is>
      </c>
    </row>
    <row r="9">
      <c r="A9" s="5" t="n"/>
      <c r="B9" s="5" t="n"/>
      <c r="C9" s="5" t="n"/>
      <c r="D9" s="5" t="n"/>
      <c r="E9" s="5" t="n"/>
      <c r="F9" s="5" t="n"/>
    </row>
    <row r="10">
      <c r="A10" s="5" t="n"/>
      <c r="B10" s="5" t="n"/>
      <c r="C10" s="5" t="n"/>
      <c r="D10" s="5" t="n"/>
      <c r="E10" s="5" t="n"/>
      <c r="F10" s="5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ySplit="4" topLeftCell="A5" activePane="bottomLeft" state="frozen"/>
      <selection pane="bottomLeft" activeCell="A1" sqref="A1"/>
    </sheetView>
  </sheetViews>
  <sheetFormatPr baseColWidth="10" defaultColWidth="8.88671875" defaultRowHeight="14.4"/>
  <cols>
    <col width="26" customWidth="1" min="1" max="1"/>
    <col width="10" customWidth="1" min="2" max="2"/>
    <col width="14" customWidth="1" min="3" max="3"/>
    <col width="36" customWidth="1" min="4" max="4"/>
    <col width="18" customWidth="1" min="5" max="7"/>
    <col width="14" customWidth="1" min="8" max="8"/>
  </cols>
  <sheetData>
    <row r="1" ht="18" customHeight="1">
      <c r="A1" s="1" t="inlineStr">
        <is>
          <t>Componentes de terceros (Sección 11 del SQAP)</t>
        </is>
      </c>
    </row>
    <row r="2">
      <c r="A2" s="2" t="inlineStr">
        <is>
          <t>Una fila por dependencia directa. Se revisa al agregar una dependencia y una vez por mes.</t>
        </is>
      </c>
    </row>
    <row r="4" ht="43.2" customHeight="1">
      <c r="A4" s="3" t="inlineStr">
        <is>
          <t>Componente</t>
        </is>
      </c>
      <c r="B4" s="3" t="inlineStr">
        <is>
          <t>Versión</t>
        </is>
      </c>
      <c r="C4" s="3" t="inlineStr">
        <is>
          <t>Licencia</t>
        </is>
      </c>
      <c r="D4" s="3" t="inlineStr">
        <is>
          <t>Justificación de uso</t>
        </is>
      </c>
      <c r="E4" s="3" t="inlineStr">
        <is>
          <t>Mantenimiento activo (último release)</t>
        </is>
      </c>
      <c r="F4" s="3" t="inlineStr">
        <is>
          <t>Vulnerabilidades conocidas</t>
        </is>
      </c>
      <c r="G4" s="3" t="inlineStr">
        <is>
          <t>Responsable de actualizar</t>
        </is>
      </c>
      <c r="H4" s="3" t="inlineStr">
        <is>
          <t>Última revisión</t>
        </is>
      </c>
    </row>
    <row r="5">
      <c r="A5" s="5" t="inlineStr">
        <is>
          <t>laravel/framework</t>
        </is>
      </c>
      <c r="B5" s="5" t="inlineStr">
        <is>
          <t>11.x</t>
        </is>
      </c>
      <c r="C5" s="5" t="inlineStr">
        <is>
          <t>MIT</t>
        </is>
      </c>
      <c r="D5" s="5" t="inlineStr">
        <is>
          <t>Framework de la aplicación</t>
        </is>
      </c>
      <c r="E5" s="5" t="inlineStr">
        <is>
          <t>[fecha]</t>
        </is>
      </c>
      <c r="F5" s="5" t="inlineStr">
        <is>
          <t>0 (composer audit)</t>
        </is>
      </c>
      <c r="G5" s="5" t="inlineStr">
        <is>
          <t>Lujan (Arquitecto)</t>
        </is>
      </c>
      <c r="H5" s="5" t="inlineStr">
        <is>
          <t>[fecha]</t>
        </is>
      </c>
    </row>
    <row r="6">
      <c r="A6" s="5" t="inlineStr">
        <is>
          <t>barryvdh/laravel-dompdf</t>
        </is>
      </c>
      <c r="B6" s="5" t="inlineStr">
        <is>
          <t>2.x</t>
        </is>
      </c>
      <c r="C6" s="5" t="inlineStr">
        <is>
          <t>MIT</t>
        </is>
      </c>
      <c r="D6" s="5" t="inlineStr">
        <is>
          <t>Generación de Exportar historial a PDF</t>
        </is>
      </c>
      <c r="E6" s="5" t="inlineStr">
        <is>
          <t>[fecha]</t>
        </is>
      </c>
      <c r="F6" s="5" t="inlineStr">
        <is>
          <t>0 (composer audit)</t>
        </is>
      </c>
      <c r="G6" s="5" t="inlineStr">
        <is>
          <t>Lujan (Arquitecto)</t>
        </is>
      </c>
      <c r="H6" s="5" t="inlineStr">
        <is>
          <t>[fecha]</t>
        </is>
      </c>
    </row>
    <row r="7">
      <c r="A7" s="5" t="inlineStr">
        <is>
          <t>phpunit/phpunit</t>
        </is>
      </c>
      <c r="B7" s="5" t="inlineStr">
        <is>
          <t>11.x</t>
        </is>
      </c>
      <c r="C7" s="5" t="inlineStr">
        <is>
          <t>BSD-3-Clause</t>
        </is>
      </c>
      <c r="D7" s="5" t="inlineStr">
        <is>
          <t>Pruebas unitarias y de integración</t>
        </is>
      </c>
      <c r="E7" s="5" t="inlineStr">
        <is>
          <t>[fecha]</t>
        </is>
      </c>
      <c r="F7" s="5" t="inlineStr">
        <is>
          <t>0</t>
        </is>
      </c>
      <c r="G7" s="5" t="inlineStr">
        <is>
          <t>Lujan (Arquitecto)</t>
        </is>
      </c>
      <c r="H7" s="5" t="inlineStr">
        <is>
          <t>[fecha]</t>
        </is>
      </c>
    </row>
    <row r="8">
      <c r="A8" s="5" t="inlineStr">
        <is>
          <t>cypress</t>
        </is>
      </c>
      <c r="B8" s="5" t="inlineStr">
        <is>
          <t>13.x</t>
        </is>
      </c>
      <c r="C8" s="5" t="inlineStr">
        <is>
          <t>MIT</t>
        </is>
      </c>
      <c r="D8" s="5" t="inlineStr">
        <is>
          <t>Pruebas E2E</t>
        </is>
      </c>
      <c r="E8" s="5" t="inlineStr">
        <is>
          <t>[fecha]</t>
        </is>
      </c>
      <c r="F8" s="5" t="inlineStr">
        <is>
          <t>0 (npm audit)</t>
        </is>
      </c>
      <c r="G8" s="5" t="inlineStr">
        <is>
          <t>Galvan (Tester)</t>
        </is>
      </c>
      <c r="H8" s="5" t="inlineStr">
        <is>
          <t>[fecha]</t>
        </is>
      </c>
    </row>
    <row r="9">
      <c r="A9" s="5" t="n"/>
      <c r="B9" s="5" t="n"/>
      <c r="C9" s="5" t="n"/>
      <c r="D9" s="5" t="n"/>
      <c r="E9" s="5" t="n"/>
      <c r="F9" s="5" t="n"/>
      <c r="G9" s="5" t="n"/>
      <c r="H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2026-10-02T10:46:23Z</dcterms:created>
  <dcterms:modified xmlns:dcterms="http://purl.org/dc/terms/" xmlns:xsi="http://www.w3.org/2001/XMLSchema-instance" xsi:type="dcterms:W3CDTF">2026-10-05T01:43:17Z</dcterms:modified>
  <cp:lastModifiedBy>Joel Porcel</cp:lastModifiedBy>
</cp:coreProperties>
</file>