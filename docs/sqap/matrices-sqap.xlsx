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Métricas" sheetId="1" state="visible" r:id="rId1"/>
    <sheet name="Riesgos" sheetId="2" state="visible" r:id="rId2"/>
    <sheet name="SLA" sheetId="3" state="visible" r:id="rId3"/>
    <sheet name="Componentes de terceros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E79"/>
      <sz val="14"/>
    </font>
    <font>
      <name val="Calibri"/>
      <charset val="1"/>
      <family val="0"/>
      <i val="1"/>
      <color rgb="FF767171"/>
      <sz val="10"/>
    </font>
    <font>
      <name val="Calibri"/>
      <charset val="1"/>
      <family val="0"/>
      <b val="1"/>
      <sz val="11"/>
    </font>
  </fonts>
  <fills count="3">
    <fill>
      <patternFill/>
    </fill>
    <fill>
      <patternFill patternType="gray125"/>
    </fill>
    <fill>
      <patternFill patternType="solid">
        <fgColor rgb="FFDDEBF7"/>
        <b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0" fillId="0" borderId="1" applyAlignment="1" pivotButton="0" quotePrefix="0" xfId="0">
      <alignment horizontal="general" vertical="center" wrapText="1"/>
    </xf>
    <xf numFmtId="0" fontId="0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0" fillId="0" borderId="1" applyAlignment="1" pivotButton="0" quotePrefix="0" xfId="0">
      <alignment horizontal="general" vertical="center" wrapText="1"/>
    </xf>
    <xf numFmtId="0" fontId="0" fillId="0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67171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23"/>
  <sheetViews>
    <sheetView showFormulas="0" showGridLines="1" showRowColHeaders="1" showZeros="1" rightToLeft="0" tabSelected="1" showOutlineSymbols="1" defaultGridColor="1" view="normal" topLeftCell="B1" colorId="64" zoomScale="100" zoomScaleNormal="100" zoomScalePageLayoutView="100" workbookViewId="0">
      <pane xSplit="0" ySplit="4" topLeftCell="A5" activePane="bottomLeft" state="frozen"/>
      <selection pane="topLeft" activeCell="B1" activeCellId="0" sqref="B1"/>
      <selection pane="bottomLeft" activeCell="J5" activeCellId="0" sqref="J5"/>
    </sheetView>
  </sheetViews>
  <sheetFormatPr baseColWidth="8" defaultColWidth="8.88671875" defaultRowHeight="14.25" zeroHeight="0" outlineLevelRow="0"/>
  <cols>
    <col width="24" customWidth="1" style="6" min="1" max="1"/>
    <col width="20" customWidth="1" style="6" min="2" max="2"/>
    <col width="30" customWidth="1" style="6" min="3" max="4"/>
    <col width="20" customWidth="1" style="6" min="5" max="5"/>
    <col width="26" customWidth="1" style="6" min="6" max="6"/>
    <col width="20" customWidth="1" style="6" min="7" max="7"/>
    <col width="16" customWidth="1" style="6" min="8" max="8"/>
    <col width="12" customWidth="1" style="6" min="9" max="9"/>
    <col width="16" customWidth="1" style="6" min="10" max="10"/>
    <col width="30" customWidth="1" style="6" min="11" max="11"/>
  </cols>
  <sheetData>
    <row r="1" ht="18" customHeight="1" s="7">
      <c r="A1" s="8" t="inlineStr">
        <is>
          <t>Métricas de calidad (Sección 5 del SQAP)</t>
        </is>
      </c>
    </row>
    <row r="2" ht="14.25" customHeight="1" s="7">
      <c r="A2" s="9" t="inlineStr">
        <is>
          <t>Métricas de CalisFacu v1.0 (NestJS + PostgreSQL). Deben coincidir con la Sección 5 del SQAP (Tablas 9 y 10) y con la configuración de las herramientas (Anexo C).</t>
        </is>
      </c>
    </row>
    <row r="4" ht="28.5" customHeight="1" s="7">
      <c r="A4" s="10" t="inlineStr">
        <is>
          <t>Característica ISO/IEC 25010</t>
        </is>
      </c>
      <c r="B4" s="10" t="inlineStr">
        <is>
          <t>Subcaracterística</t>
        </is>
      </c>
      <c r="C4" s="10" t="inlineStr">
        <is>
          <t>Métrica</t>
        </is>
      </c>
      <c r="D4" s="10" t="inlineStr">
        <is>
          <t>Fórmula</t>
        </is>
      </c>
      <c r="E4" s="10" t="inlineStr">
        <is>
          <t>Instrumento / práctica</t>
        </is>
      </c>
      <c r="F4" s="10" t="inlineStr">
        <is>
          <t>Condiciones</t>
        </is>
      </c>
      <c r="G4" s="10" t="inlineStr">
        <is>
          <t>Momento</t>
        </is>
      </c>
      <c r="H4" s="10" t="inlineStr">
        <is>
          <t>Valor objetivo</t>
        </is>
      </c>
      <c r="I4" s="10" t="inlineStr">
        <is>
          <t>RNF o riesgo</t>
        </is>
      </c>
      <c r="J4" s="10" t="inlineStr">
        <is>
          <t>Responsable</t>
        </is>
      </c>
      <c r="K4" s="10" t="inlineStr">
        <is>
          <t>Dónde se configura el umbral</t>
        </is>
      </c>
    </row>
    <row r="5" ht="28.5" customHeight="1" s="7">
      <c r="A5" s="11" t="inlineStr">
        <is>
          <t>Adecuación funcional</t>
        </is>
      </c>
      <c r="B5" s="11" t="inlineStr">
        <is>
          <t>Corrección</t>
        </is>
      </c>
      <c r="C5" s="11" t="inlineStr">
        <is>
          <t>M01 · % de casos de la tabla de cálculo firmada que pasan</t>
        </is>
      </c>
      <c r="D5" s="11" t="inlineStr">
        <is>
          <t>casos en verde / casos de la tabla</t>
        </is>
      </c>
      <c r="E5" s="11" t="inlineStr">
        <is>
          <t>Jest (P1, P2)</t>
        </is>
      </c>
      <c r="F5" s="11" t="inlineStr">
        <is>
          <t>Suite calculo.casos.spec.ts</t>
        </is>
      </c>
      <c r="G5" s="11" t="inlineStr">
        <is>
          <t>Cada PR y push</t>
        </is>
      </c>
      <c r="H5" s="11" t="inlineStr">
        <is>
          <t>100 %</t>
        </is>
      </c>
      <c r="I5" s="11" t="inlineStr">
        <is>
          <t>RNF-01, R02</t>
        </is>
      </c>
      <c r="J5" s="11" t="inlineStr">
        <is>
          <t>Dev backend (Lujan)</t>
        </is>
      </c>
      <c r="K5" s="11" t="inlineStr">
        <is>
          <t>ci.yml, job test-api: Jest termina con error si un caso falla</t>
        </is>
      </c>
    </row>
    <row r="6" ht="28.5" customHeight="1" s="7">
      <c r="A6" s="11" t="inlineStr">
        <is>
          <t>Adecuación funcional</t>
        </is>
      </c>
      <c r="B6" s="11" t="inlineStr">
        <is>
          <t>Completitud</t>
        </is>
      </c>
      <c r="C6" s="11" t="inlineStr">
        <is>
          <t>M02 · % de escenarios E2E críticos que pasan</t>
        </is>
      </c>
      <c r="D6" s="11" t="inlineStr">
        <is>
          <t>escenarios en verde / escenarios</t>
        </is>
      </c>
      <c r="E6" s="11" t="inlineStr">
        <is>
          <t>Cypress (P4)</t>
        </is>
      </c>
      <c r="F6" s="11" t="inlineStr">
        <is>
          <t>Staging con datos sintéticos</t>
        </is>
      </c>
      <c r="G6" s="11" t="inlineStr">
        <is>
          <t>Cada merge a main y cada RC</t>
        </is>
      </c>
      <c r="H6" s="11" t="inlineStr">
        <is>
          <t>100 %</t>
        </is>
      </c>
      <c r="I6" s="11" t="inlineStr">
        <is>
          <t>RNF-02</t>
        </is>
      </c>
      <c r="J6" s="11" t="inlineStr">
        <is>
          <t>Tester (Galvan)</t>
        </is>
      </c>
      <c r="K6" s="11" t="inlineStr">
        <is>
          <t>deploy.yml, job e2e: npx cypress run</t>
        </is>
      </c>
    </row>
    <row r="7" ht="28.5" customHeight="1" s="7">
      <c r="A7" s="11" t="inlineStr">
        <is>
          <t>Eficiencia de desempeño</t>
        </is>
      </c>
      <c r="B7" s="11" t="inlineStr">
        <is>
          <t>Comportamiento temporal</t>
        </is>
      </c>
      <c r="C7" s="11" t="inlineStr">
        <is>
          <t>M03 · p95 de "generar boletín de un estudiante"</t>
        </is>
      </c>
      <c r="D7" s="11" t="inlineStr">
        <is>
          <t>percentil 95 de los tiempos medidos</t>
        </is>
      </c>
      <c r="E7" s="11" t="inlineStr">
        <is>
          <t>JMeter (P5)</t>
        </is>
      </c>
      <c r="F7" s="11" t="inlineStr">
        <is>
          <t>100 usuarios concurrentes, 10 min, ambiente de rendimiento</t>
        </is>
      </c>
      <c r="G7" s="11" t="inlineStr">
        <is>
          <t>Cada RC</t>
        </is>
      </c>
      <c r="H7" s="11" t="inlineStr">
        <is>
          <t>≤ 2000 ms</t>
        </is>
      </c>
      <c r="I7" s="11" t="inlineStr">
        <is>
          <t>RNF-03</t>
        </is>
      </c>
      <c r="J7" s="11" t="inlineStr">
        <is>
          <t>Tester (Galvan)</t>
        </is>
      </c>
      <c r="K7" s="11" t="inlineStr">
        <is>
          <t>perf.yml: jq -e ".Total.pct2ResTime &lt;= 2000" perf/boletin/statistics.json</t>
        </is>
      </c>
    </row>
    <row r="8" ht="28.5" customHeight="1" s="7">
      <c r="A8" s="11" t="inlineStr">
        <is>
          <t>Eficiencia de desempeño</t>
        </is>
      </c>
      <c r="B8" s="11" t="inlineStr">
        <is>
          <t>Capacidad</t>
        </is>
      </c>
      <c r="C8" s="11" t="inlineStr">
        <is>
          <t>M04 · Tasa de error bajo carga de "registrar planilla" y "generar boletín"</t>
        </is>
      </c>
      <c r="D8" s="11" t="inlineStr">
        <is>
          <t>peticiones fallidas / peticiones totales</t>
        </is>
      </c>
      <c r="E8" s="11" t="inlineStr">
        <is>
          <t>JMeter (P5)</t>
        </is>
      </c>
      <c r="F8" s="11" t="inlineStr">
        <is>
          <t>100 usuarios concurrentes, 10 min, ambiente de rendimiento</t>
        </is>
      </c>
      <c r="G8" s="11" t="inlineStr">
        <is>
          <t>Cada RC</t>
        </is>
      </c>
      <c r="H8" s="11" t="inlineStr">
        <is>
          <t>&lt; 1 % en cada operación</t>
        </is>
      </c>
      <c r="I8" s="11" t="inlineStr">
        <is>
          <t>RNF-03, R05</t>
        </is>
      </c>
      <c r="J8" s="11" t="inlineStr">
        <is>
          <t>Tester (Galvan)</t>
        </is>
      </c>
      <c r="K8" s="11" t="inlineStr">
        <is>
          <t>perf.yml: jq -e ".Total.errorPct &lt; 1" en perf/boletin y perf/planilla</t>
        </is>
      </c>
    </row>
    <row r="9" ht="28.5" customHeight="1" s="7">
      <c r="A9" s="11" t="inlineStr">
        <is>
          <t>Mantenibilidad</t>
        </is>
      </c>
      <c r="B9" s="11" t="inlineStr">
        <is>
          <t>Capacidad de prueba</t>
        </is>
      </c>
      <c r="C9" s="11" t="inlineStr">
        <is>
          <t>M05 · Cobertura de líneas del código nuevo</t>
        </is>
      </c>
      <c r="D9" s="11" t="inlineStr">
        <is>
          <t>líneas nuevas cubiertas / líneas nuevas</t>
        </is>
      </c>
      <c r="E9" s="11" t="inlineStr">
        <is>
          <t>Jest (lcov) + SonarQube Cloud (P3)</t>
        </is>
      </c>
      <c r="F9" s="11" t="inlineStr">
        <is>
          <t>Código nuevo del PR</t>
        </is>
      </c>
      <c r="G9" s="11" t="inlineStr">
        <is>
          <t>Cada PR</t>
        </is>
      </c>
      <c r="H9" s="11" t="inlineStr">
        <is>
          <t>≥ 80 %</t>
        </is>
      </c>
      <c r="I9" s="11" t="inlineStr">
        <is>
          <t>RNF-05, R03</t>
        </is>
      </c>
      <c r="J9" s="11" t="inlineStr">
        <is>
          <t>Responsable SQA (Galvan)</t>
        </is>
      </c>
      <c r="K9" s="11" t="inlineStr">
        <is>
          <t>Quality Gate: Coverage on New Code is less than 80.0</t>
        </is>
      </c>
    </row>
    <row r="10" ht="28.5" customHeight="1" s="7">
      <c r="A10" s="11" t="inlineStr">
        <is>
          <t>Mantenibilidad</t>
        </is>
      </c>
      <c r="B10" s="11" t="inlineStr">
        <is>
          <t>Capacidad de prueba</t>
        </is>
      </c>
      <c r="C10" s="11" t="inlineStr">
        <is>
          <t>M06 · Cobertura de líneas de cada módulo crítico</t>
        </is>
      </c>
      <c r="D10" s="11" t="inlineStr">
        <is>
          <t>líneas cubiertas / líneas del módulo</t>
        </is>
      </c>
      <c r="E10" s="11" t="inlineStr">
        <is>
          <t>Jest coverageThreshold (P1, P2)</t>
        </is>
      </c>
      <c r="F10" s="11" t="inlineStr">
        <is>
          <t>notas, calculo, auditoria, auth</t>
        </is>
      </c>
      <c r="G10" s="11" t="inlineStr">
        <is>
          <t>Cada PR</t>
        </is>
      </c>
      <c r="H10" s="11" t="inlineStr">
        <is>
          <t>≥ 90 % por módulo</t>
        </is>
      </c>
      <c r="I10" s="11" t="inlineStr">
        <is>
          <t>RNF-05, RNF-01</t>
        </is>
      </c>
      <c r="J10" s="11" t="inlineStr">
        <is>
          <t>Responsable SQA (Galvan)</t>
        </is>
      </c>
      <c r="K10" s="11" t="inlineStr">
        <is>
          <t>api/jest.config.ts: coverageThreshold lines: 90 por ruta</t>
        </is>
      </c>
    </row>
    <row r="11" ht="28.5" customHeight="1" s="7">
      <c r="A11" s="11" t="inlineStr">
        <is>
          <t>Mantenibilidad</t>
        </is>
      </c>
      <c r="B11" s="11" t="inlineStr">
        <is>
          <t>Modificabilidad</t>
        </is>
      </c>
      <c r="C11" s="11" t="inlineStr">
        <is>
          <t>M07 · Líneas duplicadas en código nuevo</t>
        </is>
      </c>
      <c r="D11" s="11" t="inlineStr">
        <is>
          <t>líneas duplicadas / líneas nuevas</t>
        </is>
      </c>
      <c r="E11" s="11" t="inlineStr">
        <is>
          <t>SonarQube Cloud (P3)</t>
        </is>
      </c>
      <c r="F11" s="11" t="inlineStr">
        <is>
          <t>Código nuevo del PR</t>
        </is>
      </c>
      <c r="G11" s="11" t="inlineStr">
        <is>
          <t>Cada PR</t>
        </is>
      </c>
      <c r="H11" s="11" t="inlineStr">
        <is>
          <t>≤ 3 %</t>
        </is>
      </c>
      <c r="I11" s="11" t="inlineStr">
        <is>
          <t>RNF-05</t>
        </is>
      </c>
      <c r="J11" s="11" t="inlineStr">
        <is>
          <t>Responsable SQA (Galvan)</t>
        </is>
      </c>
      <c r="K11" s="11" t="inlineStr">
        <is>
          <t>Quality Gate: Duplicated Lines (%) on New Code is greater than 3.0</t>
        </is>
      </c>
    </row>
    <row r="12" ht="28.5" customHeight="1" s="7">
      <c r="A12" s="11" t="inlineStr">
        <is>
          <t>Seguridad</t>
        </is>
      </c>
      <c r="B12" s="11" t="inlineStr">
        <is>
          <t>Confidencialidad</t>
        </is>
      </c>
      <c r="C12" s="11" t="inlineStr">
        <is>
          <t>M08 · Vulnerabilidades altas o críticas</t>
        </is>
      </c>
      <c r="D12" s="11" t="inlineStr">
        <is>
          <t>conteo en código nuevo y en dependencias</t>
        </is>
      </c>
      <c r="E12" s="11" t="inlineStr">
        <is>
          <t>SonarQube Cloud + npm audit + Dependabot</t>
        </is>
      </c>
      <c r="F12" s="11" t="inlineStr">
        <is>
          <t>Código nuevo y package-lock.json</t>
        </is>
      </c>
      <c r="G12" s="11" t="inlineStr">
        <is>
          <t>Cada PR</t>
        </is>
      </c>
      <c r="H12" s="11" t="inlineStr">
        <is>
          <t>0</t>
        </is>
      </c>
      <c r="I12" s="11" t="inlineStr">
        <is>
          <t>RNF-04, R06</t>
        </is>
      </c>
      <c r="J12" s="11" t="inlineStr">
        <is>
          <t>Responsable SQA (Galvan)</t>
        </is>
      </c>
      <c r="K12" s="11" t="inlineStr">
        <is>
          <t>Quality Gate: Security Rating on New Code is worse than A; ci.yml job audit: npm audit --audit-level=high</t>
        </is>
      </c>
    </row>
    <row r="13" ht="28.5" customHeight="1" s="7">
      <c r="A13" s="11" t="inlineStr">
        <is>
          <t>Seguridad</t>
        </is>
      </c>
      <c r="B13" s="11" t="inlineStr">
        <is>
          <t>Integridad</t>
        </is>
      </c>
      <c r="C13" s="11" t="inlineStr">
        <is>
          <t>M09 · % de rutas protegidas que rechazan con 403 a un usuario sin permiso</t>
        </is>
      </c>
      <c r="D13" s="11" t="inlineStr">
        <is>
          <t>rutas que rechazan / rutas protegidas</t>
        </is>
      </c>
      <c r="E13" s="11" t="inlineStr">
        <is>
          <t>Jest + Supertest</t>
        </is>
      </c>
      <c r="F13" s="11" t="inlineStr">
        <is>
          <t>Suite autorizacion.e2e-spec.ts (rol, asignación y vínculo padre–estudiante)</t>
        </is>
      </c>
      <c r="G13" s="11" t="inlineStr">
        <is>
          <t>Cada PR</t>
        </is>
      </c>
      <c r="H13" s="11" t="inlineStr">
        <is>
          <t>100 %</t>
        </is>
      </c>
      <c r="I13" s="11" t="inlineStr">
        <is>
          <t>RNF-04</t>
        </is>
      </c>
      <c r="J13" s="11" t="inlineStr">
        <is>
          <t>Dev backend (Lujan)</t>
        </is>
      </c>
      <c r="K13" s="11" t="inlineStr">
        <is>
          <t>ci.yml, job test-api: npm run -w api test:e2e</t>
        </is>
      </c>
    </row>
    <row r="14" ht="28.5" customHeight="1" s="7">
      <c r="A14" s="11" t="inlineStr">
        <is>
          <t>Usabilidad</t>
        </is>
      </c>
      <c r="B14" s="11" t="inlineStr">
        <is>
          <t>Aprendizaje</t>
        </is>
      </c>
      <c r="C14" s="11" t="inlineStr">
        <is>
          <t>M11 · Tasa de éxito de "registrar las notas de una actividad" sin ayuda</t>
        </is>
      </c>
      <c r="D14" s="11" t="inlineStr">
        <is>
          <t>profesores que completan / profesores</t>
        </is>
      </c>
      <c r="E14" s="11" t="inlineStr">
        <is>
          <t>Prueba con usuarios</t>
        </is>
      </c>
      <c r="F14" s="11" t="inlineStr">
        <is>
          <t>5 profesores que nunca usaron el sistema</t>
        </is>
      </c>
      <c r="G14" s="11" t="inlineStr">
        <is>
          <t>Semana 3, día 4</t>
        </is>
      </c>
      <c r="H14" s="11" t="inlineStr">
        <is>
          <t>≥ 80 % (4 de 5)</t>
        </is>
      </c>
      <c r="I14" s="11" t="inlineStr">
        <is>
          <t>RNF-06</t>
        </is>
      </c>
      <c r="J14" s="11" t="inlineStr">
        <is>
          <t>Tester (Galvan)</t>
        </is>
      </c>
      <c r="K14" s="11" t="inlineStr">
        <is>
          <t>Acta y planilla en docs/evidencias/usabilidad/</t>
        </is>
      </c>
    </row>
    <row r="15" ht="28.5" customHeight="1" s="7">
      <c r="A15" s="11" t="inlineStr">
        <is>
          <t>Usabilidad</t>
        </is>
      </c>
      <c r="B15" s="11" t="inlineStr">
        <is>
          <t>Operabilidad</t>
        </is>
      </c>
      <c r="C15" s="11" t="inlineStr">
        <is>
          <t>M12 · Puntaje SUS promedio</t>
        </is>
      </c>
      <c r="D15" s="11" t="inlineStr">
        <is>
          <t>promedio de los puntajes SUS</t>
        </is>
      </c>
      <c r="E15" s="11" t="inlineStr">
        <is>
          <t>Cuestionario SUS de 10 ítems</t>
        </is>
      </c>
      <c r="F15" s="11" t="inlineStr">
        <is>
          <t>Los mismos 5 profesores de M11</t>
        </is>
      </c>
      <c r="G15" s="11" t="inlineStr">
        <is>
          <t>Al terminar M11</t>
        </is>
      </c>
      <c r="H15" s="11" t="inlineStr">
        <is>
          <t>≥ 68</t>
        </is>
      </c>
      <c r="I15" s="11" t="inlineStr">
        <is>
          <t>RNF-06</t>
        </is>
      </c>
      <c r="J15" s="11" t="inlineStr">
        <is>
          <t>Tester (Galvan)</t>
        </is>
      </c>
      <c r="K15" s="11" t="inlineStr">
        <is>
          <t>Planilla SUS en docs/evidencias/usabilidad/</t>
        </is>
      </c>
    </row>
    <row r="16" ht="28.5" customHeight="1" s="7">
      <c r="A16" s="11" t="inlineStr">
        <is>
          <t>Fiabilidad</t>
        </is>
      </c>
      <c r="B16" s="11" t="inlineStr">
        <is>
          <t>Disponibilidad</t>
        </is>
      </c>
      <c r="C16" s="11" t="inlineStr">
        <is>
          <t>M13 · Disponibilidad mensual de producción</t>
        </is>
      </c>
      <c r="D16" s="11" t="inlineStr">
        <is>
          <t>(tiempo total − tiempo caído) / tiempo total</t>
        </is>
      </c>
      <c r="E16" s="11" t="inlineStr">
        <is>
          <t>Monitor externo</t>
        </is>
      </c>
      <c r="F16" s="11" t="inlineStr">
        <is>
          <t>Chequeo cada 5 min de /api/salud</t>
        </is>
      </c>
      <c r="G16" s="11" t="inlineStr">
        <is>
          <t>Desde el release v1.0</t>
        </is>
      </c>
      <c r="H16" s="11" t="inlineStr">
        <is>
          <t>≥ 99,0 %</t>
        </is>
      </c>
      <c r="I16" s="11" t="inlineStr">
        <is>
          <t>RNF-07</t>
        </is>
      </c>
      <c r="J16" s="11" t="inlineStr">
        <is>
          <t>Responsable SQA (Galvan)</t>
        </is>
      </c>
      <c r="K16" s="11" t="inlineStr">
        <is>
          <t>Monitor externo: intervalo 5 min</t>
        </is>
      </c>
    </row>
    <row r="17" ht="28.5" customHeight="1" s="7">
      <c r="A17" s="11" t="inlineStr">
        <is>
          <t>Fiabilidad</t>
        </is>
      </c>
      <c r="B17" s="11" t="inlineStr">
        <is>
          <t>Recuperabilidad</t>
        </is>
      </c>
      <c r="C17" s="11" t="inlineStr">
        <is>
          <t>M14 · RPO y RTO de la base de datos</t>
        </is>
      </c>
      <c r="D17" s="11" t="inlineStr">
        <is>
          <t>tiempo desde el último respaldo; tiempo de restauración</t>
        </is>
      </c>
      <c r="E17" s="11" t="inlineStr">
        <is>
          <t>backup.yml (GitHub Actions)</t>
        </is>
      </c>
      <c r="F17" s="11" t="inlineStr">
        <is>
          <t>Respaldo diario cifrado; restauración en PostgreSQL vacío</t>
        </is>
      </c>
      <c r="G17" s="11" t="inlineStr">
        <is>
          <t>Respaldo diario; prueba cada día 5</t>
        </is>
      </c>
      <c r="H17" s="11" t="inlineStr">
        <is>
          <t>RPO ≤ 24 h; RTO ≤ 2 h</t>
        </is>
      </c>
      <c r="I17" s="11" t="inlineStr">
        <is>
          <t>RNF-07, R10</t>
        </is>
      </c>
      <c r="J17" s="11" t="inlineStr">
        <is>
          <t>Dev backend (Lujan)</t>
        </is>
      </c>
      <c r="K17" s="11" t="inlineStr">
        <is>
          <t>backup.yml: cron '0 7 * * *' y job restaurar</t>
        </is>
      </c>
    </row>
    <row r="18" ht="28.5" customHeight="1" s="7">
      <c r="A18" s="11" t="inlineStr">
        <is>
          <t>Seguridad</t>
        </is>
      </c>
      <c r="B18" s="11" t="inlineStr">
        <is>
          <t>No repudio</t>
        </is>
      </c>
      <c r="C18" s="11" t="inlineStr">
        <is>
          <t>M15 · % de cambios de nota con registro de auditoría completo</t>
        </is>
      </c>
      <c r="D18" s="11" t="inlineStr">
        <is>
          <t>cambios auditados / cambios de nota</t>
        </is>
      </c>
      <c r="E18" s="11" t="inlineStr">
        <is>
          <t>Jest + Supertest</t>
        </is>
      </c>
      <c r="F18" s="11" t="inlineStr">
        <is>
          <t>Suite auditoria.e2e-spec.ts</t>
        </is>
      </c>
      <c r="G18" s="11" t="inlineStr">
        <is>
          <t>Cada PR</t>
        </is>
      </c>
      <c r="H18" s="11" t="inlineStr">
        <is>
          <t>100 %</t>
        </is>
      </c>
      <c r="I18" s="11" t="inlineStr">
        <is>
          <t>RNF-04</t>
        </is>
      </c>
      <c r="J18" s="11" t="inlineStr">
        <is>
          <t>Dev backend (Lujan)</t>
        </is>
      </c>
      <c r="K18" s="11" t="inlineStr">
        <is>
          <t>ci.yml, job test-api: npm run -w api test:e2e</t>
        </is>
      </c>
    </row>
    <row r="19" ht="28.5" customHeight="1" s="7">
      <c r="A19" s="11" t="inlineStr">
        <is>
          <t>Mantenibilidad</t>
        </is>
      </c>
      <c r="B19" s="11" t="inlineStr">
        <is>
          <t>Analizabilidad</t>
        </is>
      </c>
      <c r="C19" s="11" t="inlineStr">
        <is>
          <t>M16 · Errores y advertencias de lint y formato</t>
        </is>
      </c>
      <c r="D19" s="11" t="inlineStr">
        <is>
          <t>conteo</t>
        </is>
      </c>
      <c r="E19" s="11" t="inlineStr">
        <is>
          <t>ESLint + Prettier</t>
        </is>
      </c>
      <c r="F19" s="11" t="inlineStr">
        <is>
          <t>Todo el repositorio</t>
        </is>
      </c>
      <c r="G19" s="11" t="inlineStr">
        <is>
          <t>Pre-commit y cada PR</t>
        </is>
      </c>
      <c r="H19" s="11" t="inlineStr">
        <is>
          <t>0</t>
        </is>
      </c>
      <c r="I19" s="11" t="inlineStr">
        <is>
          <t>RNF-05</t>
        </is>
      </c>
      <c r="J19" s="11" t="inlineStr">
        <is>
          <t>Responsable SQA (Galvan)</t>
        </is>
      </c>
      <c r="K19" s="11" t="inlineStr">
        <is>
          <t>ci.yml, job lint: eslint . --max-warnings=0; prettier --check .</t>
        </is>
      </c>
    </row>
    <row r="20" ht="14.25" customHeight="1" s="7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 ht="14.25" customHeight="1" s="7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</row>
    <row r="22" ht="14.25" customHeight="1" s="7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 ht="14.25" customHeight="1" s="7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88671875" defaultRowHeight="14.25" zeroHeight="0" outlineLevelRow="0"/>
  <cols>
    <col width="6" customWidth="1" style="6" min="1" max="1"/>
    <col width="34" customWidth="1" style="6" min="2" max="2"/>
    <col width="14" customWidth="1" style="6" min="3" max="3"/>
    <col width="13" customWidth="1" style="6" min="4" max="4"/>
    <col width="12" customWidth="1" style="6" min="5" max="5"/>
    <col width="11" customWidth="1" style="6" min="6" max="6"/>
    <col width="10" customWidth="1" style="6" min="7" max="7"/>
    <col width="44" customWidth="1" style="6" min="8" max="8"/>
    <col width="14" customWidth="1" style="6" min="9" max="9"/>
    <col width="28" customWidth="1" style="6" min="10" max="10"/>
    <col width="34" customWidth="1" style="6" min="11" max="11"/>
  </cols>
  <sheetData>
    <row r="1" ht="18" customHeight="1" s="7">
      <c r="A1" s="8" t="inlineStr">
        <is>
          <t>Matriz de riesgos de calidad (Sección 14 del SQAP)</t>
        </is>
      </c>
    </row>
    <row r="2" ht="14.25" customHeight="1" s="7">
      <c r="A2" s="9" t="inlineStr">
        <is>
          <t>Probabilidad e impacto de 1 (bajo) a 3 (alto). Exposición y nivel se calculan solos: 1-2 bajo, 3-4 medio, 6-9 alto. Todo riesgo alto necesita mitigación accionable.</t>
        </is>
      </c>
    </row>
    <row r="4" ht="28.5" customHeight="1" s="7">
      <c r="A4" s="10" t="inlineStr">
        <is>
          <t>ID</t>
        </is>
      </c>
      <c r="B4" s="10" t="inlineStr">
        <is>
          <t>Riesgo</t>
        </is>
      </c>
      <c r="C4" s="10" t="inlineStr">
        <is>
          <t>Categoría</t>
        </is>
      </c>
      <c r="D4" s="10" t="inlineStr">
        <is>
          <t>Probabilidad (1-3)</t>
        </is>
      </c>
      <c r="E4" s="10" t="inlineStr">
        <is>
          <t>Impacto (1-3)</t>
        </is>
      </c>
      <c r="F4" s="10" t="inlineStr">
        <is>
          <t>Exposición</t>
        </is>
      </c>
      <c r="G4" s="10" t="inlineStr">
        <is>
          <t>Nivel</t>
        </is>
      </c>
      <c r="H4" s="10" t="inlineStr">
        <is>
          <t>Mitigación accionable (qué, quién, cuándo)</t>
        </is>
      </c>
      <c r="I4" s="10" t="inlineStr">
        <is>
          <t>Responsable</t>
        </is>
      </c>
      <c r="J4" s="10" t="inlineStr">
        <is>
          <t>Disparador</t>
        </is>
      </c>
      <c r="K4" s="10" t="inlineStr">
        <is>
          <t>Plan de contingencia</t>
        </is>
      </c>
    </row>
    <row r="5" ht="42.75" customHeight="1" s="7">
      <c r="A5" s="12" t="inlineStr">
        <is>
          <t>R01</t>
        </is>
      </c>
      <c r="B5" s="12" t="inlineStr">
        <is>
          <t>Abandono o ausencia prolongada de un integrante (equipo de dos)</t>
        </is>
      </c>
      <c r="C5" s="12" t="inlineStr">
        <is>
          <t>Personas</t>
        </is>
      </c>
      <c r="D5" s="12" t="n">
        <v>3</v>
      </c>
      <c r="E5" s="12" t="n">
        <v>3</v>
      </c>
      <c r="F5" s="12">
        <f>IF(OR(D5="",E5=""),"",D5*E5)</f>
        <v/>
      </c>
      <c r="G5" s="12">
        <f>IF(F5="","",IF(F5&gt;=6,"Alto",IF(F5&gt;=3,"Medio","Bajo")))</f>
        <v/>
      </c>
      <c r="H5" s="12" t="inlineStr">
        <is>
          <t>Cada historia se documenta en el issue antes de cerrarse; todo PR lo revisa el otro; pair programming semanal en módulos críticos.</t>
        </is>
      </c>
      <c r="I5" s="12" t="inlineStr">
        <is>
          <t>Lujan</t>
        </is>
      </c>
      <c r="J5" s="12" t="inlineStr">
        <is>
          <t>Un integrante sin commits ni asistencia 3 días hábiles</t>
        </is>
      </c>
      <c r="K5" s="12" t="inlineStr">
        <is>
          <t>El otro asume; se renegocia el alcance con el docente priorizando US-01 y US-02.</t>
        </is>
      </c>
    </row>
    <row r="6" ht="42.75" customHeight="1" s="7">
      <c r="A6" s="12" t="inlineStr">
        <is>
          <t>R02</t>
        </is>
      </c>
      <c r="B6" s="12" t="inlineStr">
        <is>
          <t>Reglas de evaluación mal interpretadas (dimensiones, redondeo, nota anual)</t>
        </is>
      </c>
      <c r="C6" s="12" t="inlineStr">
        <is>
          <t>Requerimientos</t>
        </is>
      </c>
      <c r="D6" s="12" t="n">
        <v>2</v>
      </c>
      <c r="E6" s="12" t="n">
        <v>3</v>
      </c>
      <c r="F6" s="12">
        <f>IF(OR(D6="",E6=""),"",D6*E6)</f>
        <v/>
      </c>
      <c r="G6" s="12">
        <f>IF(F6="","",IF(F6&gt;=6,"Alto",IF(F6&gt;=3,"Medio","Bajo")))</f>
        <v/>
      </c>
      <c r="H6" s="12" t="inlineStr">
        <is>
          <t>Tabla de casos según la RM 001/2026 firmada por el cliente el día 1 de la semana 1; dimensiones configurables por gestión (US-18).</t>
        </is>
      </c>
      <c r="I6" s="12" t="inlineStr">
        <is>
          <t>Lujan</t>
        </is>
      </c>
      <c r="J6" s="12" t="inlineStr">
        <is>
          <t>Un caso de prueba sin resultado acordado</t>
        </is>
      </c>
      <c r="K6" s="12" t="inlineStr">
        <is>
          <t>Sesión con el cliente en 24 h; la regla se congela hasta tener acta.</t>
        </is>
      </c>
    </row>
    <row r="7" ht="42.75" customHeight="1" s="7">
      <c r="A7" s="12" t="inlineStr">
        <is>
          <t>R03</t>
        </is>
      </c>
      <c r="B7" s="12" t="inlineStr">
        <is>
          <t>Deuda técnica por presión de cronograma</t>
        </is>
      </c>
      <c r="C7" s="12" t="inlineStr">
        <is>
          <t>Técnico</t>
        </is>
      </c>
      <c r="D7" s="12" t="n">
        <v>2</v>
      </c>
      <c r="E7" s="12" t="n">
        <v>3</v>
      </c>
      <c r="F7" s="12">
        <f>IF(OR(D7="",E7=""),"",D7*E7)</f>
        <v/>
      </c>
      <c r="G7" s="12">
        <f>IF(F7="","",IF(F7&gt;=6,"Alto",IF(F7&gt;=3,"Medio","Bajo")))</f>
        <v/>
      </c>
      <c r="H7" s="12" t="inlineStr">
        <is>
          <t>Quality Gate bloqueante (M05, M07); 10 % de las horas de cada sprint para refactorizar.</t>
        </is>
      </c>
      <c r="I7" s="12" t="inlineStr">
        <is>
          <t>Galvan</t>
        </is>
      </c>
      <c r="J7" s="12" t="inlineStr">
        <is>
          <t>Quality Gate en rojo en 2 PR seguidos</t>
        </is>
      </c>
      <c r="K7" s="12" t="inlineStr">
        <is>
          <t>Medio día del sprint siguiente solo para estabilizar.</t>
        </is>
      </c>
    </row>
    <row r="8" ht="42.75" customHeight="1" s="7">
      <c r="A8" s="12" t="inlineStr">
        <is>
          <t>R04</t>
        </is>
      </c>
      <c r="B8" s="12" t="inlineStr">
        <is>
          <t>Jenkins no disponible (corre en la computadora de Lujan) y bloquea los merges a main</t>
        </is>
      </c>
      <c r="C8" s="12" t="inlineStr">
        <is>
          <t>Herramientas</t>
        </is>
      </c>
      <c r="D8" s="12" t="n">
        <v>2</v>
      </c>
      <c r="E8" s="12" t="n">
        <v>3</v>
      </c>
      <c r="F8" s="12">
        <f>IF(OR(D8="",E8=""),"",D8*E8)</f>
        <v/>
      </c>
      <c r="G8" s="12">
        <f>IF(F8="","",IF(F8&gt;=6,"Alto",IF(F8&gt;=3,"Medio","Bajo")))</f>
        <v/>
      </c>
      <c r="H8" s="12" t="inlineStr">
        <is>
          <t>Jenkins en Docker con `jenkins/Dockerfile` y `docker-compose.yml` versionados; reinstalación desde cero probada en la semana 1, día 2; respaldo de `jenkins_home` cada día 5; computadora encendida en horario hábil.</t>
        </is>
      </c>
      <c r="I8" s="12" t="inlineStr">
        <is>
          <t>Galvan</t>
        </is>
      </c>
      <c r="J8" s="12" t="inlineStr">
        <is>
          <t>Jenkins caído más de 2 horas hábiles</t>
        </is>
      </c>
      <c r="K8" s="12" t="inlineStr">
        <is>
          <t>Reinstalar en la computadora de Galvan desde `jenkins/` y restaurar `jenkins_home`; mientras tanto, nada se fusiona a main.</t>
        </is>
      </c>
    </row>
    <row r="9" ht="42.75" customHeight="1" s="7">
      <c r="A9" s="12" t="inlineStr">
        <is>
          <t>R05</t>
        </is>
      </c>
      <c r="B9" s="12" t="inlineStr">
        <is>
          <t>Lentitud o fallas al generar boletines en el cierre de trimestre</t>
        </is>
      </c>
      <c r="C9" s="12" t="inlineStr">
        <is>
          <t>Técnico</t>
        </is>
      </c>
      <c r="D9" s="12" t="n">
        <v>3</v>
      </c>
      <c r="E9" s="12" t="n">
        <v>3</v>
      </c>
      <c r="F9" s="12">
        <f>IF(OR(D9="",E9=""),"",D9*E9)</f>
        <v/>
      </c>
      <c r="G9" s="12">
        <f>IF(F9="","",IF(F9&gt;=6,"Alto",IF(F9&gt;=3,"Medio","Bajo")))</f>
        <v/>
      </c>
      <c r="H9" s="12" t="inlineStr">
        <is>
          <t>Cola BullMQ para cursos de más de 50 estudiantes (tarea de la semana 3); prueba de carga en cada RC (M03, M04).</t>
        </is>
      </c>
      <c r="I9" s="12" t="inlineStr">
        <is>
          <t>Lujan</t>
        </is>
      </c>
      <c r="J9" s="12" t="inlineStr">
        <is>
          <t>p95 &gt; 2000 ms o tasa de error ≥ 1 % en la etapa Rendimiento</t>
        </is>
      </c>
      <c r="K9" s="12" t="inlineStr">
        <is>
          <t>Generación diferida con aviso al profesor cuando el PDF está listo.</t>
        </is>
      </c>
    </row>
    <row r="10" ht="42.75" customHeight="1" s="7">
      <c r="A10" s="12" t="inlineStr">
        <is>
          <t>R06</t>
        </is>
      </c>
      <c r="B10" s="12" t="inlineStr">
        <is>
          <t>Vulnerabilidad crítica en una dependencia</t>
        </is>
      </c>
      <c r="C10" s="12" t="inlineStr">
        <is>
          <t>Proveedores</t>
        </is>
      </c>
      <c r="D10" s="12" t="n">
        <v>2</v>
      </c>
      <c r="E10" s="12" t="n">
        <v>3</v>
      </c>
      <c r="F10" s="12">
        <f>IF(OR(D10="",E10=""),"",D10*E10)</f>
        <v/>
      </c>
      <c r="G10" s="12">
        <f>IF(F10="","",IF(F10&gt;=6,"Alto",IF(F10&gt;=3,"Medio","Bajo")))</f>
        <v/>
      </c>
      <c r="H10" s="12" t="inlineStr">
        <is>
          <t>Dependabot semanal y `npm audit` en cada PR (M08); revisión mensual de la hoja de componentes.</t>
        </is>
      </c>
      <c r="I10" s="12" t="inlineStr">
        <is>
          <t>Lujan</t>
        </is>
      </c>
      <c r="J10" s="12" t="inlineStr">
        <is>
          <t>Alerta alta o crítica</t>
        </is>
      </c>
      <c r="K10" s="12" t="inlineStr">
        <is>
          <t>Fijar la última versión segura o reemplazar la librería en 48 h.</t>
        </is>
      </c>
    </row>
    <row r="11" ht="42.75" customHeight="1" s="7">
      <c r="A11" s="12" t="inlineStr">
        <is>
          <t>R07</t>
        </is>
      </c>
      <c r="B11" s="12" t="inlineStr">
        <is>
          <t>Datos reales de estudiantes (menores) en ambientes de prueba o en el repositorio</t>
        </is>
      </c>
      <c r="C11" s="12" t="inlineStr">
        <is>
          <t>Datos</t>
        </is>
      </c>
      <c r="D11" s="12" t="n">
        <v>1</v>
      </c>
      <c r="E11" s="12" t="n">
        <v>3</v>
      </c>
      <c r="F11" s="12">
        <f>IF(OR(D11="",E11=""),"",D11*E11)</f>
        <v/>
      </c>
      <c r="G11" s="12">
        <f>IF(F11="","",IF(F11&gt;=6,"Alto",IF(F11&gt;=3,"Medio","Bajo")))</f>
        <v/>
      </c>
      <c r="H11" s="12" t="inlineStr">
        <is>
          <t>Seeds sintéticos con faker; prohibido copiar la base de producción; revisión en cada PR.</t>
        </is>
      </c>
      <c r="I11" s="12" t="inlineStr">
        <is>
          <t>Galvan</t>
        </is>
      </c>
      <c r="J11" s="12" t="inlineStr">
        <is>
          <t>Aparece un nombre o documento real fuera de producción</t>
        </is>
      </c>
      <c r="K11" s="12" t="inlineStr">
        <is>
          <t>Borrar los datos, rotar credenciales, reescribir el artefacto e informar al docente.</t>
        </is>
      </c>
    </row>
    <row r="12" ht="42.75" customHeight="1" s="7">
      <c r="A12" s="12" t="inlineStr">
        <is>
          <t>R08</t>
        </is>
      </c>
      <c r="B12" s="12" t="inlineStr">
        <is>
          <t>Curva de aprendizaje de NestJS, TypeORM y React con TypeScript</t>
        </is>
      </c>
      <c r="C12" s="12" t="inlineStr">
        <is>
          <t>Personas</t>
        </is>
      </c>
      <c r="D12" s="12" t="n">
        <v>3</v>
      </c>
      <c r="E12" s="12" t="n">
        <v>2</v>
      </c>
      <c r="F12" s="12">
        <f>IF(OR(D12="",E12=""),"",D12*E12)</f>
        <v/>
      </c>
      <c r="G12" s="12">
        <f>IF(F12="","",IF(F12&gt;=6,"Alto",IF(F12&gt;=3,"Medio","Bajo")))</f>
        <v/>
      </c>
      <c r="H12" s="12" t="inlineStr">
        <is>
          <t>Sesiones de capacitación de la semana 1 (Sección 13); módulo de ejemplo con TDD antes de US-01.</t>
        </is>
      </c>
      <c r="I12" s="12" t="inlineStr">
        <is>
          <t>Lujan</t>
        </is>
      </c>
      <c r="J12" s="12" t="inlineStr">
        <is>
          <t>Una tarea supera el doble de sus horas estimadas</t>
        </is>
      </c>
      <c r="K12" s="12" t="inlineStr">
        <is>
          <t>Pair programming inmediato y reestimación en la planificación siguiente.</t>
        </is>
      </c>
    </row>
    <row r="13" ht="42.75" customHeight="1" s="7">
      <c r="A13" s="12" t="inlineStr">
        <is>
          <t>R09</t>
        </is>
      </c>
      <c r="B13" s="12" t="inlineStr">
        <is>
          <t>Velocidad insuficiente para 4 sprints de una semana (la semana 1 está sobrecargada)</t>
        </is>
      </c>
      <c r="C13" s="12" t="inlineStr">
        <is>
          <t>Planificación</t>
        </is>
      </c>
      <c r="D13" s="12" t="n">
        <v>3</v>
      </c>
      <c r="E13" s="12" t="n">
        <v>3</v>
      </c>
      <c r="F13" s="12">
        <f>IF(OR(D13="",E13=""),"",D13*E13)</f>
        <v/>
      </c>
      <c r="G13" s="12">
        <f>IF(F13="","",IF(F13&gt;=6,"Alto",IF(F13&gt;=3,"Medio","Bajo")))</f>
        <v/>
      </c>
      <c r="H13" s="12" t="inlineStr">
        <is>
          <t>Medir la velocidad el día 5 de la semana 1; regla de recorte acordada: salen primero US-08 y US-12 (prioridad baja).</t>
        </is>
      </c>
      <c r="I13" s="12" t="inlineStr">
        <is>
          <t>Lujan</t>
        </is>
      </c>
      <c r="J13" s="12" t="inlineStr">
        <is>
          <t>Menos del 80 % de los puntos de la semana 1 terminados</t>
        </is>
      </c>
      <c r="K13" s="12" t="inlineStr">
        <is>
          <t>Aplicar el recorte y comunicarlo al cliente y al docente en la revisión del sprint.</t>
        </is>
      </c>
    </row>
    <row r="14" ht="42.75" customHeight="1" s="7">
      <c r="A14" s="12" t="inlineStr">
        <is>
          <t>R10</t>
        </is>
      </c>
      <c r="B14" s="12" t="inlineStr">
        <is>
          <t>Límites del plan gratuito de Render (base que vence a los 30 días, sin respaldos, suspensión)</t>
        </is>
      </c>
      <c r="C14" s="12" t="inlineStr">
        <is>
          <t>Proveedores</t>
        </is>
      </c>
      <c r="D14" s="12" t="n">
        <v>2</v>
      </c>
      <c r="E14" s="12" t="n">
        <v>2</v>
      </c>
      <c r="F14" s="12">
        <f>IF(OR(D14="",E14=""),"",D14*E14)</f>
        <v/>
      </c>
      <c r="G14" s="12">
        <f>IF(F14="","",IF(F14&gt;=6,"Alto",IF(F14&gt;=3,"Medio","Bajo")))</f>
        <v/>
      </c>
      <c r="H14" s="12" t="inlineStr">
        <is>
          <t>Respaldo diario cifrado y restauración probada (M14); monitor de disponibilidad (M13).</t>
        </is>
      </c>
      <c r="I14" s="12" t="inlineStr">
        <is>
          <t>Galvan</t>
        </is>
      </c>
      <c r="J14" s="12" t="inlineStr">
        <is>
          <t>Aviso de vencimiento o restauración fallida</t>
        </is>
      </c>
      <c r="K14" s="12" t="inlineStr">
        <is>
          <t>Restaurar el último respaldo en otro PostgreSQL administrado y actualizar el secreto.</t>
        </is>
      </c>
    </row>
    <row r="15" ht="42.75" customHeight="1" s="7">
      <c r="A15" s="12" t="inlineStr">
        <is>
          <t>R11</t>
        </is>
      </c>
      <c r="B15" s="12" t="inlineStr">
        <is>
          <t>Cambio de la normativa de evaluación durante la gestión</t>
        </is>
      </c>
      <c r="C15" s="12" t="inlineStr">
        <is>
          <t>Requerimientos</t>
        </is>
      </c>
      <c r="D15" s="12" t="n">
        <v>1</v>
      </c>
      <c r="E15" s="12" t="n">
        <v>3</v>
      </c>
      <c r="F15" s="12">
        <f>IF(OR(D15="",E15=""),"",D15*E15)</f>
        <v/>
      </c>
      <c r="G15" s="12">
        <f>IF(F15="","",IF(F15&gt;=6,"Alto",IF(F15&gt;=3,"Medio","Bajo")))</f>
        <v/>
      </c>
      <c r="H15" s="12" t="inlineStr">
        <is>
          <t>Puntajes de dimensiones como parámetros por gestión, no en el código (US-18).</t>
        </is>
      </c>
      <c r="I15" s="12" t="inlineStr">
        <is>
          <t>Lujan</t>
        </is>
      </c>
      <c r="J15" s="12" t="inlineStr">
        <is>
          <t>Nueva resolución del Ministerio</t>
        </is>
      </c>
      <c r="K15" s="12" t="inlineStr">
        <is>
          <t>Configurar la nueva gestión y agregar sus casos a la tabla firmada.</t>
        </is>
      </c>
    </row>
    <row r="16" ht="42.75" customHeight="1" s="7">
      <c r="A16" s="12" t="inlineStr">
        <is>
          <t>R12</t>
        </is>
      </c>
      <c r="B16" s="12" t="inlineStr">
        <is>
          <t>Exposición de un secreto (token o URL de base de datos)</t>
        </is>
      </c>
      <c r="C16" s="12" t="inlineStr">
        <is>
          <t>Seguridad</t>
        </is>
      </c>
      <c r="D16" s="12" t="n">
        <v>1</v>
      </c>
      <c r="E16" s="12" t="n">
        <v>3</v>
      </c>
      <c r="F16" s="12">
        <f>IF(OR(D16="",E16=""),"",D16*E16)</f>
        <v/>
      </c>
      <c r="G16" s="12">
        <f>IF(F16="","",IF(F16&gt;=6,"Alto",IF(F16&gt;=3,"Medio","Bajo")))</f>
        <v/>
      </c>
      <c r="H16" s="12" t="inlineStr">
        <is>
          <t>Secretos solo en Jenkins Credentials (y GitHub Secrets para respaldos); `withCredentials` enmascara su valor en la consola; escaneo de secretos de GitHub activado.</t>
        </is>
      </c>
      <c r="I16" s="12" t="inlineStr">
        <is>
          <t>Galvan</t>
        </is>
      </c>
      <c r="J16" s="12" t="inlineStr">
        <is>
          <t>Alerta de escaneo de secretos o secreto visible en un log</t>
        </is>
      </c>
      <c r="K16" s="12" t="inlineStr">
        <is>
          <t>Rotar en menos de 1 hora hábil y registrar un defecto S1.</t>
        </is>
      </c>
    </row>
    <row r="17" ht="42.75" customHeight="1" s="7">
      <c r="A17" s="12" t="inlineStr">
        <is>
          <t>R13</t>
        </is>
      </c>
      <c r="B17" s="12" t="inlineStr">
        <is>
          <t>Cliente no disponible para inspección, demo o aceptación</t>
        </is>
      </c>
      <c r="C17" s="12" t="inlineStr">
        <is>
          <t>Cliente</t>
        </is>
      </c>
      <c r="D17" s="12" t="n">
        <v>2</v>
      </c>
      <c r="E17" s="12" t="n">
        <v>3</v>
      </c>
      <c r="F17" s="12">
        <f>IF(OR(D17="",E17=""),"",D17*E17)</f>
        <v/>
      </c>
      <c r="G17" s="12">
        <f>IF(F17="","",IF(F17&gt;=6,"Alto",IF(F17&gt;=3,"Medio","Bajo")))</f>
        <v/>
      </c>
      <c r="H17" s="12" t="inlineStr">
        <is>
          <t>Calendario de revisiones acordado con el cliente el día 1 de la semana 1, con un suplente nombrado.</t>
        </is>
      </c>
      <c r="I17" s="12" t="inlineStr">
        <is>
          <t>Lujan</t>
        </is>
      </c>
      <c r="J17" s="12" t="inlineStr">
        <is>
          <t>El cliente cancela una revisión</t>
        </is>
      </c>
      <c r="K17" s="12" t="inlineStr">
        <is>
          <t>Revisión asíncrona sobre staging con un plazo de 24 h; si no hay respuesta, se escala al docente.</t>
        </is>
      </c>
    </row>
    <row r="18" ht="42.75" customHeight="1" s="7">
      <c r="A18" s="12" t="inlineStr">
        <is>
          <t>R14</t>
        </is>
      </c>
      <c r="B18" s="12" t="inlineStr">
        <is>
          <t>Cambios de historias tarde en el sprint</t>
        </is>
      </c>
      <c r="C18" s="12" t="inlineStr">
        <is>
          <t>Requerimientos</t>
        </is>
      </c>
      <c r="D18" s="12" t="n">
        <v>2</v>
      </c>
      <c r="E18" s="12" t="n">
        <v>2</v>
      </c>
      <c r="F18" s="12">
        <f>IF(OR(D18="",E18=""),"",D18*E18)</f>
        <v/>
      </c>
      <c r="G18" s="12">
        <f>IF(F18="","",IF(F18&gt;=6,"Alto",IF(F18&gt;=3,"Medio","Bajo")))</f>
        <v/>
      </c>
      <c r="H18" s="12" t="inlineStr">
        <is>
          <t>Procedimiento de cambio de la Sección 10.7: solo entra si no compromete el objetivo del sprint.</t>
        </is>
      </c>
      <c r="I18" s="12" t="inlineStr">
        <is>
          <t>Lujan</t>
        </is>
      </c>
      <c r="J18" s="12" t="inlineStr">
        <is>
          <t>Solicitud de cambio después del día 3</t>
        </is>
      </c>
      <c r="K18" s="12" t="inlineStr">
        <is>
          <t>El cambio pasa al sprint siguiente o a la Release 2.</t>
        </is>
      </c>
    </row>
    <row r="19" ht="14.25" customHeight="1" s="7">
      <c r="A19" s="12" t="n"/>
      <c r="B19" s="12" t="n"/>
      <c r="C19" s="12" t="n"/>
      <c r="D19" s="12" t="n"/>
      <c r="E19" s="12" t="n"/>
      <c r="F19" s="12">
        <f>IF(OR(D19="",E19=""),"",D19*E19)</f>
        <v/>
      </c>
      <c r="G19" s="12">
        <f>IF(F19="","",IF(F19&gt;=6,"Alto",IF(F19&gt;=3,"Medio","Bajo")))</f>
        <v/>
      </c>
      <c r="H19" s="12" t="n"/>
      <c r="I19" s="12" t="n"/>
      <c r="J19" s="12" t="n"/>
      <c r="K19" s="12" t="n"/>
    </row>
    <row r="20" ht="14.25" customHeight="1" s="7">
      <c r="A20" s="12" t="n"/>
      <c r="B20" s="12" t="n"/>
      <c r="C20" s="12" t="n"/>
      <c r="D20" s="12" t="n"/>
      <c r="E20" s="12" t="n"/>
      <c r="F20" s="12">
        <f>IF(OR(D20="",E20=""),"",D20*E20)</f>
        <v/>
      </c>
      <c r="G20" s="12">
        <f>IF(F20="","",IF(F20&gt;=6,"Alto",IF(F20&gt;=3,"Medio","Bajo")))</f>
        <v/>
      </c>
      <c r="H20" s="12" t="n"/>
      <c r="I20" s="12" t="n"/>
      <c r="J20" s="12" t="n"/>
      <c r="K20" s="12" t="n"/>
    </row>
    <row r="21" ht="14.25" customHeight="1" s="7">
      <c r="A21" s="12" t="n"/>
      <c r="B21" s="12" t="n"/>
      <c r="C21" s="12" t="n"/>
      <c r="D21" s="12" t="n"/>
      <c r="E21" s="12" t="n"/>
      <c r="F21" s="12">
        <f>IF(OR(D21="",E21=""),"",D21*E21)</f>
        <v/>
      </c>
      <c r="G21" s="12">
        <f>IF(F21="","",IF(F21&gt;=6,"Alto",IF(F21&gt;=3,"Medio","Bajo")))</f>
        <v/>
      </c>
      <c r="H21" s="12" t="n"/>
      <c r="I21" s="12" t="n"/>
      <c r="J21" s="12" t="n"/>
      <c r="K21" s="12" t="n"/>
    </row>
    <row r="22" ht="14.25" customHeight="1" s="7">
      <c r="A22" s="12" t="n"/>
      <c r="B22" s="12" t="n"/>
      <c r="C22" s="12" t="n"/>
      <c r="D22" s="12" t="n"/>
      <c r="E22" s="12" t="n"/>
      <c r="F22" s="12">
        <f>IF(OR(D22="",E22=""),"",D22*E22)</f>
        <v/>
      </c>
      <c r="G22" s="12">
        <f>IF(F22="","",IF(F22&gt;=6,"Alto",IF(F22&gt;=3,"Medio","Bajo")))</f>
        <v/>
      </c>
      <c r="H22" s="12" t="n"/>
      <c r="I22" s="12" t="n"/>
      <c r="J22" s="12" t="n"/>
      <c r="K22" s="12" t="n"/>
    </row>
    <row r="23" ht="14.25" customHeight="1" s="7">
      <c r="A23" s="12" t="n"/>
      <c r="B23" s="12" t="n"/>
      <c r="C23" s="12" t="n"/>
      <c r="D23" s="12" t="n"/>
      <c r="E23" s="12" t="n"/>
      <c r="F23" s="12">
        <f>IF(OR(D23="",E23=""),"",D23*E23)</f>
        <v/>
      </c>
      <c r="G23" s="12">
        <f>IF(F23="","",IF(F23&gt;=6,"Alto",IF(F23&gt;=3,"Medio","Bajo")))</f>
        <v/>
      </c>
      <c r="H23" s="12" t="n"/>
      <c r="I23" s="12" t="n"/>
      <c r="J23" s="12" t="n"/>
      <c r="K23" s="12" t="n"/>
    </row>
  </sheetData>
  <conditionalFormatting sqref="G5:G23">
    <cfRule type="cellIs" rank="0" priority="2" equalAverage="0" operator="equal" aboveAverage="0" dxfId="0" text="" percent="0" bottom="0">
      <formula>"Alto"</formula>
    </cfRule>
    <cfRule type="cellIs" rank="0" priority="3" equalAverage="0" operator="equal" aboveAverage="0" dxfId="1" text="" percent="0" bottom="0">
      <formula>"Medio"</formula>
    </cfRule>
    <cfRule type="cellIs" rank="0" priority="4" equalAverage="0" operator="equal" aboveAverage="0" dxfId="2" text="" percent="0" bottom="0">
      <formula>"Bajo"</formula>
    </cfRule>
  </conditionalFormatting>
  <dataValidations count="1">
    <dataValidation sqref="D5:E23" showDropDown="0" showInputMessage="0" showErrorMessage="1" allowBlank="0" errorTitle="Valor inválido" error="Usa un número entero de 1 a 3." type="whole" errorStyle="stop" operator="between">
      <formula1>1</formula1>
      <formula2>3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88671875" defaultRowHeight="14.25" zeroHeight="0" outlineLevelRow="0"/>
  <cols>
    <col width="14" customWidth="1" style="6" min="1" max="1"/>
    <col width="40" customWidth="1" style="6" min="2" max="3"/>
    <col width="18" customWidth="1" style="6" min="4" max="6"/>
  </cols>
  <sheetData>
    <row r="1" ht="18" customHeight="1" s="7">
      <c r="A1" s="8" t="inlineStr">
        <is>
          <t>SLA de gestión de defectos (Sección 8 del SQAP)</t>
        </is>
      </c>
    </row>
    <row r="2" ht="14.25" customHeight="1" s="7">
      <c r="A2" s="9" t="inlineStr">
        <is>
          <t>Tiempos en horario hábil (lunes a viernes, 8:00 a 18:00). Leído de arriba hacia abajo, cada tiempo es igual o mayor que el de la fila anterior.</t>
        </is>
      </c>
    </row>
    <row r="4" ht="28.5" customHeight="1" s="7">
      <c r="A4" s="10" t="inlineStr">
        <is>
          <t>Severidad</t>
        </is>
      </c>
      <c r="B4" s="10" t="inlineStr">
        <is>
          <t>Definición</t>
        </is>
      </c>
      <c r="C4" s="10" t="inlineStr">
        <is>
          <t>Ejemplo en el proyecto</t>
        </is>
      </c>
      <c r="D4" s="10" t="inlineStr">
        <is>
          <t>Tiempo de respuesta</t>
        </is>
      </c>
      <c r="E4" s="10" t="inlineStr">
        <is>
          <t>Tiempo de resolución</t>
        </is>
      </c>
      <c r="F4" s="10" t="inlineStr">
        <is>
          <t>Quién atiende</t>
        </is>
      </c>
    </row>
    <row r="5" ht="41.75" customHeight="1" s="7">
      <c r="A5" s="12" t="inlineStr">
        <is>
          <t>Crítica (S1)</t>
        </is>
      </c>
      <c r="B5" s="12" t="inlineStr">
        <is>
          <t>El sistema es inusable, hay pérdida o corrupción de notas, o un usuario accede a datos que no le corresponden</t>
        </is>
      </c>
      <c r="C5" s="12" t="inlineStr">
        <is>
          <t>Una nota trimestral se guarda con un valor incorrecto; un padre ve el boletín de otro estudiante</t>
        </is>
      </c>
      <c r="D5" s="12" t="inlineStr">
        <is>
          <t>4 horas hábiles</t>
        </is>
      </c>
      <c r="E5" s="12" t="inlineStr">
        <is>
          <t>1 día hábil</t>
        </is>
      </c>
      <c r="F5" s="12" t="inlineStr">
        <is>
          <t>Lujan (de guardia en la semana de cierre de trimestre)</t>
        </is>
      </c>
    </row>
    <row r="6" ht="28.5" customHeight="1" s="7">
      <c r="A6" s="12" t="inlineStr">
        <is>
          <t>Alta (S2)</t>
        </is>
      </c>
      <c r="B6" s="12" t="inlineStr">
        <is>
          <t>Funcionalidad principal afectada sin alternativa y sin pérdida de datos</t>
        </is>
      </c>
      <c r="C6" s="12" t="inlineStr">
        <is>
          <t>El boletín PDF falla en cursos de más de 50 estudiantes (CAL-001)</t>
        </is>
      </c>
      <c r="D6" s="12" t="inlineStr">
        <is>
          <t>1 día hábil</t>
        </is>
      </c>
      <c r="E6" s="12" t="inlineStr">
        <is>
          <t>2 días hábiles</t>
        </is>
      </c>
      <c r="F6" s="12" t="inlineStr">
        <is>
          <t>Desarrollador del módulo</t>
        </is>
      </c>
    </row>
    <row r="7" ht="28.5" customHeight="1" s="7">
      <c r="A7" s="12" t="inlineStr">
        <is>
          <t>Media (S3)</t>
        </is>
      </c>
      <c r="B7" s="12" t="inlineStr">
        <is>
          <t>Funcionalidad secundaria afectada o existe alternativa</t>
        </is>
      </c>
      <c r="C7" s="12" t="inlineStr">
        <is>
          <t>El filtro por trimestre del historial falla, pero el estudiante se encuentra por nombre</t>
        </is>
      </c>
      <c r="D7" s="12" t="inlineStr">
        <is>
          <t>1 día hábil</t>
        </is>
      </c>
      <c r="E7" s="12" t="inlineStr">
        <is>
          <t>1 semana</t>
        </is>
      </c>
      <c r="F7" s="12" t="inlineStr">
        <is>
          <t>Asignado en la planificación del sprint</t>
        </is>
      </c>
    </row>
    <row r="8" ht="28.5" customHeight="1" s="7">
      <c r="A8" s="12" t="inlineStr">
        <is>
          <t>Baja (S4)</t>
        </is>
      </c>
      <c r="B8" s="12" t="inlineStr">
        <is>
          <t>Defecto cosmético o mejora menor</t>
        </is>
      </c>
      <c r="C8" s="12" t="inlineStr">
        <is>
          <t>Texto desalineado en el pie del boletín</t>
        </is>
      </c>
      <c r="D8" s="12" t="inlineStr">
        <is>
          <t>3 días hábiles</t>
        </is>
      </c>
      <c r="E8" s="12" t="inlineStr">
        <is>
          <t>Siguiente sprint</t>
        </is>
      </c>
      <c r="F8" s="12" t="inlineStr">
        <is>
          <t>Asignado en la planificación del sprint</t>
        </is>
      </c>
    </row>
    <row r="9" ht="14.25" customHeight="1" s="7">
      <c r="A9" s="12" t="n"/>
      <c r="B9" s="12" t="n"/>
      <c r="C9" s="12" t="n"/>
      <c r="D9" s="12" t="n"/>
      <c r="E9" s="12" t="n"/>
      <c r="F9" s="12" t="n"/>
    </row>
    <row r="10" ht="14.25" customHeight="1" s="7">
      <c r="A10" s="12" t="n"/>
      <c r="B10" s="12" t="n"/>
      <c r="C10" s="12" t="n"/>
      <c r="D10" s="12" t="n"/>
      <c r="E10" s="12" t="n"/>
      <c r="F10" s="1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88671875" defaultRowHeight="14.25" zeroHeight="0" outlineLevelRow="0"/>
  <cols>
    <col width="26" customWidth="1" style="6" min="1" max="1"/>
    <col width="10" customWidth="1" style="6" min="2" max="2"/>
    <col width="14" customWidth="1" style="6" min="3" max="3"/>
    <col width="36" customWidth="1" style="6" min="4" max="4"/>
    <col width="18" customWidth="1" style="6" min="5" max="7"/>
    <col width="14" customWidth="1" style="6" min="8" max="8"/>
  </cols>
  <sheetData>
    <row r="1" ht="18" customHeight="1" s="7">
      <c r="A1" s="8" t="inlineStr">
        <is>
          <t>Componentes de terceros (Sección 11 del SQAP)</t>
        </is>
      </c>
    </row>
    <row r="2" ht="14.25" customHeight="1" s="7">
      <c r="A2" s="9" t="inlineStr">
        <is>
          <t>Una fila por dependencia directa. Se revisa al agregar una dependencia y el primer lunes de cada mes (Sección 11 del SQAP). Completar las columnas [fecha] al crear el proyecto.</t>
        </is>
      </c>
    </row>
    <row r="3"/>
    <row r="4" ht="42.75" customHeight="1" s="7">
      <c r="A4" s="10" t="inlineStr">
        <is>
          <t>Componente</t>
        </is>
      </c>
      <c r="B4" s="10" t="inlineStr">
        <is>
          <t>Versión</t>
        </is>
      </c>
      <c r="C4" s="10" t="inlineStr">
        <is>
          <t>Licencia</t>
        </is>
      </c>
      <c r="D4" s="10" t="inlineStr">
        <is>
          <t>Justificación de uso</t>
        </is>
      </c>
      <c r="E4" s="10" t="inlineStr">
        <is>
          <t>Mantenimiento activo (último release)</t>
        </is>
      </c>
      <c r="F4" s="10" t="inlineStr">
        <is>
          <t>Vulnerabilidades conocidas</t>
        </is>
      </c>
      <c r="G4" s="10" t="inlineStr">
        <is>
          <t>Responsable de actualizar</t>
        </is>
      </c>
      <c r="H4" s="10" t="inlineStr">
        <is>
          <t>Última revisión</t>
        </is>
      </c>
    </row>
    <row r="5" ht="41.75" customHeight="1" s="7">
      <c r="A5" s="12" t="inlineStr">
        <is>
          <t>@nestjs/core, @nestjs/common</t>
        </is>
      </c>
      <c r="B5" s="12" t="inlineStr">
        <is>
          <t>Según package-lock.json</t>
        </is>
      </c>
      <c r="C5" s="12" t="inlineStr">
        <is>
          <t>MIT</t>
        </is>
      </c>
      <c r="D5" s="12" t="inlineStr">
        <is>
          <t>Framework de la API</t>
        </is>
      </c>
      <c r="E5" s="12" t="inlineStr">
        <is>
          <t>[fecha]</t>
        </is>
      </c>
      <c r="F5" s="12" t="inlineStr">
        <is>
          <t>0 (npm audit)</t>
        </is>
      </c>
      <c r="G5" s="12" t="inlineStr">
        <is>
          <t>Lujan (Arquitecto)</t>
        </is>
      </c>
      <c r="H5" s="12" t="inlineStr">
        <is>
          <t>[fecha]</t>
        </is>
      </c>
    </row>
    <row r="6" ht="41.75" customHeight="1" s="7">
      <c r="A6" s="12" t="inlineStr">
        <is>
          <t>typeorm, @nestjs/typeorm, pg</t>
        </is>
      </c>
      <c r="B6" s="12" t="inlineStr">
        <is>
          <t>Según package-lock.json</t>
        </is>
      </c>
      <c r="C6" s="12" t="inlineStr">
        <is>
          <t>MIT</t>
        </is>
      </c>
      <c r="D6" s="12" t="inlineStr">
        <is>
          <t>ORM, entidades y migraciones de PostgreSQL</t>
        </is>
      </c>
      <c r="E6" s="12" t="inlineStr">
        <is>
          <t>[fecha]</t>
        </is>
      </c>
      <c r="F6" s="12" t="inlineStr">
        <is>
          <t>0 (npm audit)</t>
        </is>
      </c>
      <c r="G6" s="12" t="inlineStr">
        <is>
          <t>Lujan (Arquitecto)</t>
        </is>
      </c>
      <c r="H6" s="12" t="inlineStr">
        <is>
          <t>[fecha]</t>
        </is>
      </c>
    </row>
    <row r="7" ht="41.75" customHeight="1" s="7">
      <c r="A7" s="12" t="inlineStr">
        <is>
          <t>@nestjs/passport, @nestjs/jwt, passport-jwt</t>
        </is>
      </c>
      <c r="B7" s="12" t="inlineStr">
        <is>
          <t>Según package-lock.json</t>
        </is>
      </c>
      <c r="C7" s="12" t="inlineStr">
        <is>
          <t>MIT</t>
        </is>
      </c>
      <c r="D7" s="12" t="inlineStr">
        <is>
          <t>Autenticación (US-17)</t>
        </is>
      </c>
      <c r="E7" s="12" t="inlineStr">
        <is>
          <t>[fecha]</t>
        </is>
      </c>
      <c r="F7" s="12" t="inlineStr">
        <is>
          <t>0 (npm audit)</t>
        </is>
      </c>
      <c r="G7" s="12" t="inlineStr">
        <is>
          <t>Lujan (Arquitecto)</t>
        </is>
      </c>
      <c r="H7" s="12" t="inlineStr">
        <is>
          <t>[fecha]</t>
        </is>
      </c>
    </row>
    <row r="8" ht="41.75" customHeight="1" s="7">
      <c r="A8" s="12" t="inlineStr">
        <is>
          <t>argon2</t>
        </is>
      </c>
      <c r="B8" s="12" t="inlineStr">
        <is>
          <t>Según package-lock.json</t>
        </is>
      </c>
      <c r="C8" s="12" t="inlineStr">
        <is>
          <t>MIT</t>
        </is>
      </c>
      <c r="D8" s="12" t="inlineStr">
        <is>
          <t>Hash de contraseñas</t>
        </is>
      </c>
      <c r="E8" s="12" t="inlineStr">
        <is>
          <t>[fecha]</t>
        </is>
      </c>
      <c r="F8" s="12" t="inlineStr">
        <is>
          <t>0 (npm audit)</t>
        </is>
      </c>
      <c r="G8" s="12" t="inlineStr">
        <is>
          <t>Lujan (Arquitecto)</t>
        </is>
      </c>
      <c r="H8" s="12" t="inlineStr">
        <is>
          <t>[fecha]</t>
        </is>
      </c>
    </row>
    <row r="9" ht="41.75" customHeight="1" s="7">
      <c r="A9" s="12" t="inlineStr">
        <is>
          <t>class-validator, class-transformer</t>
        </is>
      </c>
      <c r="B9" s="12" t="inlineStr">
        <is>
          <t>Según package-lock.json</t>
        </is>
      </c>
      <c r="C9" s="12" t="inlineStr">
        <is>
          <t>MIT</t>
        </is>
      </c>
      <c r="D9" s="12" t="inlineStr">
        <is>
          <t>Validación de DTO</t>
        </is>
      </c>
      <c r="E9" s="12" t="inlineStr">
        <is>
          <t>[fecha]</t>
        </is>
      </c>
      <c r="F9" s="12" t="inlineStr">
        <is>
          <t>0 (npm audit)</t>
        </is>
      </c>
      <c r="G9" s="12" t="inlineStr">
        <is>
          <t>Lujan (Arquitecto)</t>
        </is>
      </c>
      <c r="H9" s="12" t="inlineStr">
        <is>
          <t>[fecha]</t>
        </is>
      </c>
    </row>
    <row r="10" ht="41.75" customHeight="1" s="7">
      <c r="A10" s="12" t="inlineStr">
        <is>
          <t>decimal.js</t>
        </is>
      </c>
      <c r="B10" s="12" t="inlineStr">
        <is>
          <t>Según package-lock.json</t>
        </is>
      </c>
      <c r="C10" s="12" t="inlineStr">
        <is>
          <t>MIT</t>
        </is>
      </c>
      <c r="D10" s="12" t="inlineStr">
        <is>
          <t>Aritmética exacta del cálculo (RNF-01)</t>
        </is>
      </c>
      <c r="E10" s="12" t="inlineStr">
        <is>
          <t>[fecha]</t>
        </is>
      </c>
      <c r="F10" s="12" t="inlineStr">
        <is>
          <t>0 (npm audit)</t>
        </is>
      </c>
      <c r="G10" s="12" t="inlineStr">
        <is>
          <t>Lujan (Arquitecto)</t>
        </is>
      </c>
      <c r="H10" s="12" t="inlineStr">
        <is>
          <t>[fecha]</t>
        </is>
      </c>
    </row>
    <row r="11" ht="41.75" customHeight="1" s="7">
      <c r="A11" s="12" t="inlineStr">
        <is>
          <t>pdfkit</t>
        </is>
      </c>
      <c r="B11" s="12" t="inlineStr">
        <is>
          <t>0.20.2</t>
        </is>
      </c>
      <c r="C11" s="12" t="inlineStr">
        <is>
          <t>MIT</t>
        </is>
      </c>
      <c r="D11" s="12" t="inlineStr">
        <is>
          <t>Boletín en PDF (US-07). Se usa directo en vez de pdfmake (que se apoya en pdfkit): el boletín es una tabla simple y así se evita una capa más</t>
        </is>
      </c>
      <c r="E11" s="12" t="inlineStr">
        <is>
          <t>30/08/2026</t>
        </is>
      </c>
      <c r="F11" s="12" t="inlineStr">
        <is>
          <t>0 (npm audit)</t>
        </is>
      </c>
      <c r="G11" s="12" t="inlineStr">
        <is>
          <t>Lujan (Arquitecto)</t>
        </is>
      </c>
      <c r="H11" s="12" t="inlineStr">
        <is>
          <t>29/10/2026</t>
        </is>
      </c>
    </row>
    <row r="12" ht="41.75" customHeight="1" s="7">
      <c r="A12" s="12" t="inlineStr">
        <is>
          <t>bullmq, ioredis</t>
        </is>
      </c>
      <c r="B12" s="12" t="inlineStr">
        <is>
          <t>6.3.15 y 5.11.1 (exactas)</t>
        </is>
      </c>
      <c r="C12" s="12" t="inlineStr">
        <is>
          <t>MIT</t>
        </is>
      </c>
      <c r="D12" s="12" t="inlineStr">
        <is>
          <t>Cola de boletines (RNF-03, R05, ADR-0006). Se fija una versión de bullmq de más de dos semanas. Su dependencia opcional msgpackr-extract (binario nativo) queda denegada en allowScripts: msgpackr funciona sin ella</t>
        </is>
      </c>
      <c r="E12" s="12" t="inlineStr">
        <is>
          <t>bullmq 14/10/2026; ioredis 04/06/2026</t>
        </is>
      </c>
      <c r="F12" s="12" t="inlineStr">
        <is>
          <t>0 (npm audit)</t>
        </is>
      </c>
      <c r="G12" s="12" t="inlineStr">
        <is>
          <t>Lujan (Arquitecto)</t>
        </is>
      </c>
      <c r="H12" s="12" t="inlineStr">
        <is>
          <t>29/10/2026</t>
        </is>
      </c>
    </row>
    <row r="13" ht="41.75" customHeight="1" s="7">
      <c r="A13" s="12" t="inlineStr">
        <is>
          <t>exceljs</t>
        </is>
      </c>
      <c r="B13" s="12" t="inlineStr">
        <is>
          <t>4.4.0</t>
        </is>
      </c>
      <c r="C13" s="12" t="inlineStr">
        <is>
          <t>MIT</t>
        </is>
      </c>
      <c r="D13" s="12" t="inlineStr">
        <is>
          <t>Importación (US-05) y exportación (US-09)</t>
        </is>
      </c>
      <c r="E13" s="12" t="inlineStr">
        <is>
          <t>19/10/2023 (sin versiones nuevas desde entonces: revisar cada mes)</t>
        </is>
      </c>
      <c r="F13" s="12" t="inlineStr">
        <is>
          <t>0 (npm audit). Su uuid se fuerza a 11.1.1 con overrides por GHSA-w5hq-g745-h8pq</t>
        </is>
      </c>
      <c r="G13" s="12" t="inlineStr">
        <is>
          <t>Lujan (Arquitecto)</t>
        </is>
      </c>
      <c r="H13" s="12" t="inlineStr">
        <is>
          <t>21/10/2026</t>
        </is>
      </c>
    </row>
    <row r="14" ht="41.75" customHeight="1" s="7">
      <c r="A14" s="12" t="inlineStr">
        <is>
          <t>@nestjs/swagger</t>
        </is>
      </c>
      <c r="B14" s="12" t="inlineStr">
        <is>
          <t>Según package-lock.json</t>
        </is>
      </c>
      <c r="C14" s="12" t="inlineStr">
        <is>
          <t>MIT</t>
        </is>
      </c>
      <c r="D14" s="12" t="inlineStr">
        <is>
          <t>Contrato OpenAPI de la API</t>
        </is>
      </c>
      <c r="E14" s="12" t="inlineStr">
        <is>
          <t>[fecha]</t>
        </is>
      </c>
      <c r="F14" s="12" t="inlineStr">
        <is>
          <t>0 (npm audit)</t>
        </is>
      </c>
      <c r="G14" s="12" t="inlineStr">
        <is>
          <t>Lujan (Arquitecto)</t>
        </is>
      </c>
      <c r="H14" s="12" t="inlineStr">
        <is>
          <t>[fecha]</t>
        </is>
      </c>
    </row>
    <row r="15" ht="41.75" customHeight="1" s="7">
      <c r="A15" s="12" t="inlineStr">
        <is>
          <t>react, react-dom, vite</t>
        </is>
      </c>
      <c r="B15" s="12" t="inlineStr">
        <is>
          <t>Según package-lock.json</t>
        </is>
      </c>
      <c r="C15" s="12" t="inlineStr">
        <is>
          <t>MIT</t>
        </is>
      </c>
      <c r="D15" s="12" t="inlineStr">
        <is>
          <t>Aplicación web</t>
        </is>
      </c>
      <c r="E15" s="12" t="inlineStr">
        <is>
          <t>[fecha]</t>
        </is>
      </c>
      <c r="F15" s="12" t="inlineStr">
        <is>
          <t>0 (npm audit)</t>
        </is>
      </c>
      <c r="G15" s="12" t="inlineStr">
        <is>
          <t>Galvan (Tester)</t>
        </is>
      </c>
      <c r="H15" s="12" t="inlineStr">
        <is>
          <t>[fecha]</t>
        </is>
      </c>
    </row>
    <row r="16" ht="41.75" customHeight="1" s="7">
      <c r="A16" s="12" t="inlineStr">
        <is>
          <t>jest, ts-jest, supertest</t>
        </is>
      </c>
      <c r="B16" s="12" t="inlineStr">
        <is>
          <t>Según package-lock.json</t>
        </is>
      </c>
      <c r="C16" s="12" t="inlineStr">
        <is>
          <t>MIT</t>
        </is>
      </c>
      <c r="D16" s="12" t="inlineStr">
        <is>
          <t>Pruebas unitarias y de integración</t>
        </is>
      </c>
      <c r="E16" s="12" t="inlineStr">
        <is>
          <t>[fecha]</t>
        </is>
      </c>
      <c r="F16" s="12" t="inlineStr">
        <is>
          <t>0 (npm audit)</t>
        </is>
      </c>
      <c r="G16" s="12" t="inlineStr">
        <is>
          <t>Lujan (Arquitecto)</t>
        </is>
      </c>
      <c r="H16" s="12" t="inlineStr">
        <is>
          <t>[fecha]</t>
        </is>
      </c>
    </row>
    <row r="17" ht="41.75" customHeight="1" s="7">
      <c r="A17" s="12" t="inlineStr">
        <is>
          <t>vitest</t>
        </is>
      </c>
      <c r="B17" s="12" t="inlineStr">
        <is>
          <t>Según package-lock.json</t>
        </is>
      </c>
      <c r="C17" s="12" t="inlineStr">
        <is>
          <t>MIT</t>
        </is>
      </c>
      <c r="D17" s="12" t="inlineStr">
        <is>
          <t>Pruebas de la web</t>
        </is>
      </c>
      <c r="E17" s="12" t="inlineStr">
        <is>
          <t>[fecha]</t>
        </is>
      </c>
      <c r="F17" s="12" t="inlineStr">
        <is>
          <t>0 (npm audit)</t>
        </is>
      </c>
      <c r="G17" s="12" t="inlineStr">
        <is>
          <t>Galvan (Tester)</t>
        </is>
      </c>
      <c r="H17" s="12" t="inlineStr">
        <is>
          <t>[fecha]</t>
        </is>
      </c>
    </row>
    <row r="18" ht="41.75" customHeight="1" s="7">
      <c r="A18" s="12" t="inlineStr">
        <is>
          <t>cypress</t>
        </is>
      </c>
      <c r="B18" s="12" t="inlineStr">
        <is>
          <t>Según package-lock.json</t>
        </is>
      </c>
      <c r="C18" s="12" t="inlineStr">
        <is>
          <t>MIT</t>
        </is>
      </c>
      <c r="D18" s="12" t="inlineStr">
        <is>
          <t>Pruebas E2E</t>
        </is>
      </c>
      <c r="E18" s="12" t="inlineStr">
        <is>
          <t>[fecha]</t>
        </is>
      </c>
      <c r="F18" s="12" t="inlineStr">
        <is>
          <t>0 (npm audit)</t>
        </is>
      </c>
      <c r="G18" s="12" t="inlineStr">
        <is>
          <t>Galvan (Tester)</t>
        </is>
      </c>
      <c r="H18" s="12" t="inlineStr">
        <is>
          <t>[fecha]</t>
        </is>
      </c>
    </row>
    <row r="19" ht="41.75" customHeight="1" s="7">
      <c r="A19" s="12" t="inlineStr">
        <is>
          <t>@faker-js/faker</t>
        </is>
      </c>
      <c r="B19" s="12" t="inlineStr">
        <is>
          <t>Según package-lock.json</t>
        </is>
      </c>
      <c r="C19" s="12" t="inlineStr">
        <is>
          <t>MIT</t>
        </is>
      </c>
      <c r="D19" s="12" t="inlineStr">
        <is>
          <t>Datos sintéticos (R07)</t>
        </is>
      </c>
      <c r="E19" s="12" t="inlineStr">
        <is>
          <t>[fecha]</t>
        </is>
      </c>
      <c r="F19" s="12" t="inlineStr">
        <is>
          <t>0 (npm audit)</t>
        </is>
      </c>
      <c r="G19" s="12" t="inlineStr">
        <is>
          <t>Galvan (Tester)</t>
        </is>
      </c>
      <c r="H19" s="12" t="inlineStr">
        <is>
          <t>[fecha]</t>
        </is>
      </c>
    </row>
    <row r="20" ht="41.75" customHeight="1" s="7">
      <c r="A20" s="12" t="inlineStr">
        <is>
          <t>eslint, typescript-eslint, prettier</t>
        </is>
      </c>
      <c r="B20" s="12" t="inlineStr">
        <is>
          <t>Según package-lock.json</t>
        </is>
      </c>
      <c r="C20" s="12" t="inlineStr">
        <is>
          <t>MIT</t>
        </is>
      </c>
      <c r="D20" s="12" t="inlineStr">
        <is>
          <t>Estándar de código (M16)</t>
        </is>
      </c>
      <c r="E20" s="12" t="inlineStr">
        <is>
          <t>[fecha]</t>
        </is>
      </c>
      <c r="F20" s="12" t="inlineStr">
        <is>
          <t>0 (npm audit)</t>
        </is>
      </c>
      <c r="G20" s="12" t="inlineStr">
        <is>
          <t>Galvan (SQA)</t>
        </is>
      </c>
      <c r="H20" s="12" t="inlineStr">
        <is>
          <t>[fecha]</t>
        </is>
      </c>
    </row>
    <row r="21" ht="41.75" customHeight="1" s="7">
      <c r="A21" s="12" t="inlineStr">
        <is>
          <t>husky, lint-staged, @commitlint/cli</t>
        </is>
      </c>
      <c r="B21" s="12" t="inlineStr">
        <is>
          <t>Según package-lock.json</t>
        </is>
      </c>
      <c r="C21" s="12" t="inlineStr">
        <is>
          <t>MIT</t>
        </is>
      </c>
      <c r="D21" s="12" t="inlineStr">
        <is>
          <t>Hooks locales y Conventional Commits</t>
        </is>
      </c>
      <c r="E21" s="12" t="inlineStr">
        <is>
          <t>[fecha]</t>
        </is>
      </c>
      <c r="F21" s="12" t="inlineStr">
        <is>
          <t>0 (npm audit)</t>
        </is>
      </c>
      <c r="G21" s="12" t="inlineStr">
        <is>
          <t>Galvan (SQA)</t>
        </is>
      </c>
      <c r="H21" s="12" t="inlineStr">
        <is>
          <t>[fecha]</t>
        </is>
      </c>
    </row>
    <row r="22" ht="14.25" customHeight="1" s="7">
      <c r="A22" s="12" t="inlineStr">
        <is>
          <t>Apache JMeter</t>
        </is>
      </c>
      <c r="B22" s="12" t="inlineStr">
        <is>
          <t>5.6.3</t>
        </is>
      </c>
      <c r="C22" s="12" t="inlineStr">
        <is>
          <t>Apache-2.0</t>
        </is>
      </c>
      <c r="D22" s="12" t="inlineStr">
        <is>
          <t>Pruebas de carga (M03, M04)</t>
        </is>
      </c>
      <c r="E22" s="12" t="inlineStr">
        <is>
          <t>[fecha]</t>
        </is>
      </c>
      <c r="F22" s="12" t="inlineStr">
        <is>
          <t>—</t>
        </is>
      </c>
      <c r="G22" s="12" t="inlineStr">
        <is>
          <t>Galvan (Tester)</t>
        </is>
      </c>
      <c r="H22" s="12" t="inlineStr">
        <is>
          <t>[fecha]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2026-10-02T10:46:23Z</dcterms:created>
  <dcterms:modified xsi:type="dcterms:W3CDTF">2026-10-30T03:26:07Z</dcterms:modified>
  <cp:lastModifiedBy>Joel Porcel</cp:lastModifiedBy>
  <cp:revision>0</cp:revision>
</cp:coreProperties>
</file>