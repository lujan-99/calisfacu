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tricas" sheetId="1" state="visible" r:id="rId3"/>
    <sheet name="Riesgos" sheetId="2" state="visible" r:id="rId4"/>
    <sheet name="SLA" sheetId="3" state="visible" r:id="rId5"/>
    <sheet name="Componentes de tercer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<sst xmlns="http://schemas.openxmlformats.org/spreadsheetml/2006/main" count="475" uniqueCount="326">
  <si>
    <t xml:space="preserve">Métricas de calidad (Sección 5 del SQAP)</t>
  </si>
  <si>
    <t xml:space="preserve">Métricas de CalisFacu v1.0 (NestJS + PostgreSQL). Deben coincidir con la Sección 5 del SQAP (Tablas 9 y 10) y con la configuración de las herramientas (Anexo C).</t>
  </si>
  <si>
    <t xml:space="preserve">Característica ISO/IEC 25010</t>
  </si>
  <si>
    <t xml:space="preserve">Subcaracterística</t>
  </si>
  <si>
    <t xml:space="preserve">Métrica</t>
  </si>
  <si>
    <t xml:space="preserve">Fórmula</t>
  </si>
  <si>
    <t xml:space="preserve">Instrumento / práctica</t>
  </si>
  <si>
    <t xml:space="preserve">Condiciones</t>
  </si>
  <si>
    <t xml:space="preserve">Momento</t>
  </si>
  <si>
    <t xml:space="preserve">Valor objetivo</t>
  </si>
  <si>
    <t xml:space="preserve">RNF o riesgo</t>
  </si>
  <si>
    <t xml:space="preserve">Responsable</t>
  </si>
  <si>
    <t xml:space="preserve">Dónde se configura el umbral</t>
  </si>
  <si>
    <t xml:space="preserve">Adecuación funcional</t>
  </si>
  <si>
    <t xml:space="preserve">Corrección</t>
  </si>
  <si>
    <t xml:space="preserve">M01 · % de casos de la tabla de cálculo firmada que pasan</t>
  </si>
  <si>
    <t xml:space="preserve">casos en verde / casos de la tabla</t>
  </si>
  <si>
    <t xml:space="preserve">Jest (P1, P2)</t>
  </si>
  <si>
    <t xml:space="preserve">Suite calculo.casos.spec.ts</t>
  </si>
  <si>
    <t xml:space="preserve">Cada build de Jenkins (PR y main)</t>
  </si>
  <si>
    <t xml:space="preserve">100 %</t>
  </si>
  <si>
    <t xml:space="preserve">RNF-01, R02</t>
  </si>
  <si>
    <t xml:space="preserve">Dev backend (Lujan)</t>
  </si>
  <si>
    <t xml:space="preserve">Jenkinsfile, etapa Pruebas › API: npm run -w api test:cov + junit; el build falla si un caso falla</t>
  </si>
  <si>
    <t xml:space="preserve">Completitud</t>
  </si>
  <si>
    <t xml:space="preserve">M02 · % de escenarios E2E críticos que pasan</t>
  </si>
  <si>
    <t xml:space="preserve">escenarios en verde / escenarios</t>
  </si>
  <si>
    <t xml:space="preserve">Cypress (P4)</t>
  </si>
  <si>
    <t xml:space="preserve">Staging con datos sintéticos</t>
  </si>
  <si>
    <t xml:space="preserve">Cada build de develop</t>
  </si>
  <si>
    <t xml:space="preserve">RNF-02</t>
  </si>
  <si>
    <t xml:space="preserve">Tester (Galvan)</t>
  </si>
  <si>
    <t xml:space="preserve">Jenkinsfile, etapa E2E (rama develop): npx cypress run</t>
  </si>
  <si>
    <t xml:space="preserve">Eficiencia de desempeño</t>
  </si>
  <si>
    <t xml:space="preserve">Comportamiento temporal</t>
  </si>
  <si>
    <t xml:space="preserve">M03 · p95 de "generar boletín de un estudiante"</t>
  </si>
  <si>
    <t xml:space="preserve">percentil 95 de los tiempos medidos</t>
  </si>
  <si>
    <t xml:space="preserve">JMeter (P5)</t>
  </si>
  <si>
    <t xml:space="preserve">100 usuarios concurrentes, 10 min, ambiente de rendimiento</t>
  </si>
  <si>
    <t xml:space="preserve">Cada RC</t>
  </si>
  <si>
    <t xml:space="preserve">≤ 2000 ms</t>
  </si>
  <si>
    <t xml:space="preserve">RNF-03</t>
  </si>
  <si>
    <t xml:space="preserve">Jenkinsfile, etapa Rendimiento (etiquetas v*-rc.*): jq -e ".Total.pct2ResTime &lt;= 2000" perf/boletin/statistics.json</t>
  </si>
  <si>
    <t xml:space="preserve">Capacidad</t>
  </si>
  <si>
    <t xml:space="preserve">M04 · Tasa de error bajo carga de "registrar planilla" y "generar boletín"</t>
  </si>
  <si>
    <t xml:space="preserve">peticiones fallidas / peticiones totales</t>
  </si>
  <si>
    <t xml:space="preserve">&lt; 1 % en cada operación</t>
  </si>
  <si>
    <t xml:space="preserve">RNF-03, R05</t>
  </si>
  <si>
    <t xml:space="preserve">Jenkinsfile, etapa Rendimiento (etiquetas v*-rc.*): jq -e ".Total.errorPct &lt; 1" en perf/boletin y perf/planilla</t>
  </si>
  <si>
    <t xml:space="preserve">Mantenibilidad</t>
  </si>
  <si>
    <t xml:space="preserve">Capacidad de prueba</t>
  </si>
  <si>
    <t xml:space="preserve">M05 · Cobertura de líneas del código nuevo</t>
  </si>
  <si>
    <t xml:space="preserve">líneas nuevas cubiertas / líneas nuevas</t>
  </si>
  <si>
    <t xml:space="preserve">Jest (lcov) + SonarQube Cloud (P3)</t>
  </si>
  <si>
    <t xml:space="preserve">Código nuevo del PR</t>
  </si>
  <si>
    <t xml:space="preserve">≥ 80 %</t>
  </si>
  <si>
    <t xml:space="preserve">RNF-05, R03</t>
  </si>
  <si>
    <t xml:space="preserve">Responsable SQA (Galvan)</t>
  </si>
  <si>
    <t xml:space="preserve">Quality Gate: Coverage on New Code is less than 80.0</t>
  </si>
  <si>
    <t xml:space="preserve">M06 · Cobertura de líneas de cada módulo crítico</t>
  </si>
  <si>
    <t xml:space="preserve">líneas cubiertas / líneas del módulo</t>
  </si>
  <si>
    <t xml:space="preserve">Jest coverageThreshold (P1, P2)</t>
  </si>
  <si>
    <t xml:space="preserve">notas, calculo, auditoria, auth, familias</t>
  </si>
  <si>
    <t xml:space="preserve">Cada PR</t>
  </si>
  <si>
    <t xml:space="preserve">≥ 90 % por módulo</t>
  </si>
  <si>
    <t xml:space="preserve">RNF-05, RNF-01</t>
  </si>
  <si>
    <t xml:space="preserve">api/jest.config.ts: coverageThreshold lines: 90 por ruta</t>
  </si>
  <si>
    <t xml:space="preserve">Modificabilidad</t>
  </si>
  <si>
    <t xml:space="preserve">M07 · Líneas duplicadas en código nuevo</t>
  </si>
  <si>
    <t xml:space="preserve">líneas duplicadas / líneas nuevas</t>
  </si>
  <si>
    <t xml:space="preserve">SonarQube Cloud (P3)</t>
  </si>
  <si>
    <t xml:space="preserve">≤ 3 %</t>
  </si>
  <si>
    <t xml:space="preserve">RNF-05</t>
  </si>
  <si>
    <t xml:space="preserve">Quality Gate: Duplicated Lines (%) on New Code is greater than 3.0</t>
  </si>
  <si>
    <t xml:space="preserve">Seguridad</t>
  </si>
  <si>
    <t xml:space="preserve">Confidencialidad</t>
  </si>
  <si>
    <t xml:space="preserve">M08 · Vulnerabilidades altas o críticas</t>
  </si>
  <si>
    <t xml:space="preserve">conteo en código nuevo y en dependencias</t>
  </si>
  <si>
    <t xml:space="preserve">SonarQube Cloud + npm audit + Dependabot</t>
  </si>
  <si>
    <t xml:space="preserve">Código nuevo y package-lock.json</t>
  </si>
  <si>
    <t xml:space="preserve">Cada build (SonarQube: develop)</t>
  </si>
  <si>
    <t xml:space="preserve">0</t>
  </si>
  <si>
    <t xml:space="preserve">RNF-04, R06</t>
  </si>
  <si>
    <t xml:space="preserve">Quality Gate: Security Rating on New Code is worse than A; Jenkinsfile, etapa Dependencias: npm audit --audit-level=high</t>
  </si>
  <si>
    <t xml:space="preserve">Integridad</t>
  </si>
  <si>
    <t xml:space="preserve">M09 · % de rutas protegidas que rechazan con 403 a un usuario sin permiso</t>
  </si>
  <si>
    <t xml:space="preserve">rutas que rechazan / rutas protegidas</t>
  </si>
  <si>
    <t xml:space="preserve">Jest + Supertest</t>
  </si>
  <si>
    <t xml:space="preserve">Suite autorizacion.e2e-spec.ts (rol, asignación y vínculo padre–estudiante)</t>
  </si>
  <si>
    <t xml:space="preserve">RNF-04</t>
  </si>
  <si>
    <t xml:space="preserve">Jenkinsfile, etapa Pruebas › API: suite autorizacion.e2e-spec.ts dentro de npm run -w api test:cov</t>
  </si>
  <si>
    <t xml:space="preserve">Usabilidad</t>
  </si>
  <si>
    <t xml:space="preserve">Aprendizaje</t>
  </si>
  <si>
    <t xml:space="preserve">M11 · Tasa de éxito de "registrar las notas de una actividad" sin ayuda</t>
  </si>
  <si>
    <t xml:space="preserve">profesores que completan / profesores</t>
  </si>
  <si>
    <t xml:space="preserve">Prueba con usuarios</t>
  </si>
  <si>
    <t xml:space="preserve">5 profesores que nunca usaron el sistema</t>
  </si>
  <si>
    <t xml:space="preserve">Semana 3, día 4</t>
  </si>
  <si>
    <t xml:space="preserve">≥ 80 % (4 de 5)</t>
  </si>
  <si>
    <t xml:space="preserve">RNF-06</t>
  </si>
  <si>
    <t xml:space="preserve">Acta y planilla en docs/evidencias/usabilidad/</t>
  </si>
  <si>
    <t xml:space="preserve">Operabilidad</t>
  </si>
  <si>
    <t xml:space="preserve">M12 · Puntaje SUS promedio</t>
  </si>
  <si>
    <t xml:space="preserve">promedio de los puntajes SUS</t>
  </si>
  <si>
    <t xml:space="preserve">Cuestionario SUS de 10 ítems</t>
  </si>
  <si>
    <t xml:space="preserve">Los mismos 5 profesores de M11</t>
  </si>
  <si>
    <t xml:space="preserve">Al terminar M11</t>
  </si>
  <si>
    <t xml:space="preserve">≥ 68</t>
  </si>
  <si>
    <t xml:space="preserve">Planilla SUS en docs/evidencias/usabilidad/</t>
  </si>
  <si>
    <t xml:space="preserve">Fiabilidad</t>
  </si>
  <si>
    <t xml:space="preserve">Disponibilidad</t>
  </si>
  <si>
    <t xml:space="preserve">M13 · Disponibilidad mensual de producción</t>
  </si>
  <si>
    <t xml:space="preserve">(tiempo total − tiempo caído) / tiempo total</t>
  </si>
  <si>
    <t xml:space="preserve">Monitor externo</t>
  </si>
  <si>
    <t xml:space="preserve">Chequeo cada 5 min de /api/salud</t>
  </si>
  <si>
    <t xml:space="preserve">Desde el release v1.0</t>
  </si>
  <si>
    <t xml:space="preserve">≥ 99,0 %</t>
  </si>
  <si>
    <t xml:space="preserve">RNF-07</t>
  </si>
  <si>
    <t xml:space="preserve">UptimeRobot: intervalo 5 min sobre /api/salud</t>
  </si>
  <si>
    <t xml:space="preserve">Recuperabilidad</t>
  </si>
  <si>
    <t xml:space="preserve">M14 · RPO y RTO de la base de datos</t>
  </si>
  <si>
    <t xml:space="preserve">tiempo desde el último respaldo; tiempo de restauración</t>
  </si>
  <si>
    <t xml:space="preserve">backup.yml (GitHub Actions)</t>
  </si>
  <si>
    <t xml:space="preserve">Respaldo diario cifrado; restauración en PostgreSQL vacío</t>
  </si>
  <si>
    <t xml:space="preserve">Respaldo diario; prueba cada día 5</t>
  </si>
  <si>
    <t xml:space="preserve">RPO ≤ 24 h; RTO ≤ 2 h</t>
  </si>
  <si>
    <t xml:space="preserve">RNF-07, R10</t>
  </si>
  <si>
    <t xml:space="preserve">backup.yml: cron '0 7 * * *' y job restaurar</t>
  </si>
  <si>
    <t xml:space="preserve">No repudio</t>
  </si>
  <si>
    <t xml:space="preserve">M15 · % de cambios de nota con registro de auditoría completo</t>
  </si>
  <si>
    <t xml:space="preserve">cambios auditados / cambios de nota</t>
  </si>
  <si>
    <t xml:space="preserve">Suite auditoria.e2e-spec.ts</t>
  </si>
  <si>
    <t xml:space="preserve">Jenkinsfile, etapa Pruebas › API: suite auditoria.e2e-spec.ts dentro de npm run -w api test:cov</t>
  </si>
  <si>
    <t xml:space="preserve">Analizabilidad</t>
  </si>
  <si>
    <t xml:space="preserve">M16 · Errores y advertencias de lint y formato</t>
  </si>
  <si>
    <t xml:space="preserve">conteo</t>
  </si>
  <si>
    <t xml:space="preserve">ESLint + Prettier</t>
  </si>
  <si>
    <t xml:space="preserve">Todo el repositorio</t>
  </si>
  <si>
    <t xml:space="preserve">Pre-commit y cada PR</t>
  </si>
  <si>
    <t xml:space="preserve">Jenkinsfile, etapa Lint y hook pre-commit: eslint . --max-warnings=0; prettier --check .</t>
  </si>
  <si>
    <t xml:space="preserve">Matriz de riesgos de calidad (Sección 14 del SQAP)</t>
  </si>
  <si>
    <t xml:space="preserve">Probabilidad e impacto de 1 (bajo) a 3 (alto). Exposición y nivel se calculan solos: 1-2 bajo, 3-4 medio, 6-9 alto. Todo riesgo alto necesita mitigación accionable.</t>
  </si>
  <si>
    <t xml:space="preserve">ID</t>
  </si>
  <si>
    <t xml:space="preserve">Riesgo</t>
  </si>
  <si>
    <t xml:space="preserve">Categoría</t>
  </si>
  <si>
    <t xml:space="preserve">Probabilidad (1-3)</t>
  </si>
  <si>
    <t xml:space="preserve">Impacto (1-3)</t>
  </si>
  <si>
    <t xml:space="preserve">Exposición</t>
  </si>
  <si>
    <t xml:space="preserve">Nivel</t>
  </si>
  <si>
    <t xml:space="preserve">Mitigación accionable (qué, quién, cuándo)</t>
  </si>
  <si>
    <t xml:space="preserve">Disparador</t>
  </si>
  <si>
    <t xml:space="preserve">Plan de contingencia</t>
  </si>
  <si>
    <t xml:space="preserve">R01</t>
  </si>
  <si>
    <t xml:space="preserve">Abandono o ausencia prolongada de un integrante (equipo de dos)</t>
  </si>
  <si>
    <t xml:space="preserve">Personas</t>
  </si>
  <si>
    <t xml:space="preserve">Cada historia se documenta en el issue antes de cerrarse; todo PR lo revisa el otro; pair programming semanal en módulos críticos.</t>
  </si>
  <si>
    <t xml:space="preserve">Lujan</t>
  </si>
  <si>
    <t xml:space="preserve">Un integrante sin commits ni asistencia 3 días hábiles</t>
  </si>
  <si>
    <t xml:space="preserve">El otro asume; se renegocia el alcance con el docente priorizando US-01 y US-02.</t>
  </si>
  <si>
    <t xml:space="preserve">R02</t>
  </si>
  <si>
    <t xml:space="preserve">Reglas de evaluación mal interpretadas (dimensiones, redondeo, nota anual)</t>
  </si>
  <si>
    <t xml:space="preserve">Requerimientos</t>
  </si>
  <si>
    <t xml:space="preserve">Tabla de casos según la RM 001/2026 firmada por el cliente el día 1 de la semana 1; dimensiones configurables por gestión (US-18).</t>
  </si>
  <si>
    <t xml:space="preserve">Un caso de prueba sin resultado acordado</t>
  </si>
  <si>
    <t xml:space="preserve">Sesión con el cliente en 24 h; la regla se congela hasta tener acta.</t>
  </si>
  <si>
    <t xml:space="preserve">R03</t>
  </si>
  <si>
    <t xml:space="preserve">Deuda técnica por presión de cronograma</t>
  </si>
  <si>
    <t xml:space="preserve">Técnico</t>
  </si>
  <si>
    <t xml:space="preserve">Quality Gate bloqueante (M05, M07); 10 % de las horas de cada sprint para refactorizar.</t>
  </si>
  <si>
    <t xml:space="preserve">Galvan</t>
  </si>
  <si>
    <t xml:space="preserve">Quality Gate en rojo en 2 PR seguidos</t>
  </si>
  <si>
    <t xml:space="preserve">Medio día del sprint siguiente solo para estabilizar.</t>
  </si>
  <si>
    <t xml:space="preserve">R04</t>
  </si>
  <si>
    <t xml:space="preserve">Jenkins no disponible (corre en la computadora de Lujan) y bloquea los merges a main</t>
  </si>
  <si>
    <t xml:space="preserve">Herramientas</t>
  </si>
  <si>
    <t xml:space="preserve">Jenkins en Docker con `jenkins/Dockerfile` y `docker-compose.yml` versionados; reinstalación desde cero probada en la semana 1, día 2; respaldo de `jenkins_home` cada día 5; computadora encendida en horario hábil.</t>
  </si>
  <si>
    <t xml:space="preserve">Jenkins caído más de 2 horas hábiles</t>
  </si>
  <si>
    <t xml:space="preserve">Reinstalar en la computadora de Galvan desde `jenkins/` y restaurar `jenkins_home`; mientras tanto, nada se fusiona a main.</t>
  </si>
  <si>
    <t xml:space="preserve">R05</t>
  </si>
  <si>
    <t xml:space="preserve">Lentitud o fallas al generar boletines en el cierre de trimestre</t>
  </si>
  <si>
    <t xml:space="preserve">Cola BullMQ para cursos de más de 50 estudiantes (tarea de la semana 3); prueba de carga en cada RC (M03, M04).</t>
  </si>
  <si>
    <t xml:space="preserve">p95 &gt; 2000 ms o tasa de error ≥ 1 % en la etapa Rendimiento</t>
  </si>
  <si>
    <t xml:space="preserve">Generación diferida con aviso al profesor cuando el PDF está listo.</t>
  </si>
  <si>
    <t xml:space="preserve">R06</t>
  </si>
  <si>
    <t xml:space="preserve">Vulnerabilidad crítica en una dependencia</t>
  </si>
  <si>
    <t xml:space="preserve">Proveedores</t>
  </si>
  <si>
    <t xml:space="preserve">Dependabot semanal y `npm audit` en cada PR (M08); revisión mensual de la hoja de componentes.</t>
  </si>
  <si>
    <t xml:space="preserve">Alerta alta o crítica</t>
  </si>
  <si>
    <t xml:space="preserve">Fijar la última versión segura o reemplazar la librería en 48 h.</t>
  </si>
  <si>
    <t xml:space="preserve">R07</t>
  </si>
  <si>
    <t xml:space="preserve">Datos reales de estudiantes (menores) en ambientes de prueba o en el repositorio</t>
  </si>
  <si>
    <t xml:space="preserve">Datos</t>
  </si>
  <si>
    <t xml:space="preserve">Seeds sintéticos con faker; prohibido copiar la base de producción; revisión en cada PR.</t>
  </si>
  <si>
    <t xml:space="preserve">Aparece un nombre o documento real fuera de producción</t>
  </si>
  <si>
    <t xml:space="preserve">Borrar los datos, rotar credenciales, reescribir el artefacto e informar al docente.</t>
  </si>
  <si>
    <t xml:space="preserve">R08</t>
  </si>
  <si>
    <t xml:space="preserve">Curva de aprendizaje de NestJS, TypeORM y React con TypeScript</t>
  </si>
  <si>
    <t xml:space="preserve">Sesiones de capacitación de la semana 1 (Sección 13); módulo de ejemplo con TDD antes de US-01.</t>
  </si>
  <si>
    <t xml:space="preserve">Una tarea supera el doble de sus horas estimadas</t>
  </si>
  <si>
    <t xml:space="preserve">Pair programming inmediato y reestimación en la planificación siguiente.</t>
  </si>
  <si>
    <t xml:space="preserve">R09</t>
  </si>
  <si>
    <t xml:space="preserve">Velocidad insuficiente para 4 sprints de una semana (la semana 1 está sobrecargada)</t>
  </si>
  <si>
    <t xml:space="preserve">Planificación</t>
  </si>
  <si>
    <t xml:space="preserve">Medir la velocidad el día 5 de la semana 1; regla de recorte acordada: salen primero US-08 y US-12 (prioridad baja).</t>
  </si>
  <si>
    <t xml:space="preserve">Menos del 80 % de los puntos de la semana 1 terminados</t>
  </si>
  <si>
    <t xml:space="preserve">Aplicar el recorte y comunicarlo al cliente y al docente en la revisión del sprint.</t>
  </si>
  <si>
    <t xml:space="preserve">R10</t>
  </si>
  <si>
    <t xml:space="preserve">Límites del plan gratuito de Render (base que vence a los 30 días, sin respaldos, suspensión)</t>
  </si>
  <si>
    <t xml:space="preserve">Respaldo diario cifrado y restauración probada (M14); monitor de disponibilidad (M13).</t>
  </si>
  <si>
    <t xml:space="preserve">Aviso de vencimiento o restauración fallida</t>
  </si>
  <si>
    <t xml:space="preserve">Restaurar el último respaldo en otro PostgreSQL administrado y actualizar el secreto.</t>
  </si>
  <si>
    <t xml:space="preserve">R11</t>
  </si>
  <si>
    <t xml:space="preserve">Cambio de la normativa de evaluación durante la gestión</t>
  </si>
  <si>
    <t xml:space="preserve">Puntajes de dimensiones como parámetros por gestión, no en el código (US-18).</t>
  </si>
  <si>
    <t xml:space="preserve">Nueva resolución del Ministerio</t>
  </si>
  <si>
    <t xml:space="preserve">Configurar la nueva gestión y agregar sus casos a la tabla firmada.</t>
  </si>
  <si>
    <t xml:space="preserve">R12</t>
  </si>
  <si>
    <t xml:space="preserve">Exposición de un secreto (token o URL de base de datos)</t>
  </si>
  <si>
    <t xml:space="preserve">Secretos solo en Jenkins Credentials (y GitHub Secrets para respaldos); `withCredentials` enmascara su valor en la consola; escaneo de secretos de GitHub activado.</t>
  </si>
  <si>
    <t xml:space="preserve">Alerta de escaneo de secretos o secreto visible en un log</t>
  </si>
  <si>
    <t xml:space="preserve">Rotar en menos de 1 hora hábil y registrar un defecto S1.</t>
  </si>
  <si>
    <t xml:space="preserve">R13</t>
  </si>
  <si>
    <t xml:space="preserve">Cliente no disponible para inspección, demo o aceptación</t>
  </si>
  <si>
    <t xml:space="preserve">Cliente</t>
  </si>
  <si>
    <t xml:space="preserve">Calendario de revisiones acordado con el cliente el día 1 de la semana 1, con un suplente nombrado.</t>
  </si>
  <si>
    <t xml:space="preserve">El cliente cancela una revisión</t>
  </si>
  <si>
    <t xml:space="preserve">Revisión asíncrona sobre staging con un plazo de 24 h; si no hay respuesta, se escala al docente.</t>
  </si>
  <si>
    <t xml:space="preserve">R14</t>
  </si>
  <si>
    <t xml:space="preserve">Cambios de historias tarde en el sprint</t>
  </si>
  <si>
    <t xml:space="preserve">Procedimiento de cambio de la Sección 10.7: solo entra si no compromete el objetivo del sprint.</t>
  </si>
  <si>
    <t xml:space="preserve">Solicitud de cambio después del día 3</t>
  </si>
  <si>
    <t xml:space="preserve">El cambio pasa al sprint siguiente o a la Release 2.</t>
  </si>
  <si>
    <t xml:space="preserve">SLA de gestión de defectos (Sección 8 del SQAP)</t>
  </si>
  <si>
    <t xml:space="preserve">Tiempos en horario hábil (lunes a viernes, 8:00 a 18:00). Leído de arriba hacia abajo, cada tiempo es igual o mayor que el de la fila anterior.</t>
  </si>
  <si>
    <t xml:space="preserve">Severidad</t>
  </si>
  <si>
    <t xml:space="preserve">Definición</t>
  </si>
  <si>
    <t xml:space="preserve">Ejemplo en el proyecto</t>
  </si>
  <si>
    <t xml:space="preserve">Tiempo de respuesta</t>
  </si>
  <si>
    <t xml:space="preserve">Tiempo de resolución</t>
  </si>
  <si>
    <t xml:space="preserve">Quién atiende</t>
  </si>
  <si>
    <t xml:space="preserve">Crítica (S1)</t>
  </si>
  <si>
    <t xml:space="preserve">El sistema es inusable, hay pérdida o corrupción de notas, o un usuario accede a datos que no le corresponden</t>
  </si>
  <si>
    <t xml:space="preserve">Una nota trimestral se guarda con un valor incorrecto; un padre ve el boletín de otro estudiante</t>
  </si>
  <si>
    <t xml:space="preserve">4 horas hábiles</t>
  </si>
  <si>
    <t xml:space="preserve">1 día hábil</t>
  </si>
  <si>
    <t xml:space="preserve">Lujan (de guardia en la semana de cierre de trimestre)</t>
  </si>
  <si>
    <t xml:space="preserve">Alta (S2)</t>
  </si>
  <si>
    <t xml:space="preserve">Funcionalidad principal afectada sin alternativa y sin pérdida de datos</t>
  </si>
  <si>
    <t xml:space="preserve">El boletín PDF falla en cursos de más de 50 estudiantes (CAL-001)</t>
  </si>
  <si>
    <t xml:space="preserve">2 días hábiles</t>
  </si>
  <si>
    <t xml:space="preserve">Desarrollador del módulo</t>
  </si>
  <si>
    <t xml:space="preserve">Media (S3)</t>
  </si>
  <si>
    <t xml:space="preserve">Funcionalidad secundaria afectada o existe alternativa</t>
  </si>
  <si>
    <t xml:space="preserve">El filtro por trimestre del historial falla, pero el estudiante se encuentra por nombre</t>
  </si>
  <si>
    <t xml:space="preserve">1 semana</t>
  </si>
  <si>
    <t xml:space="preserve">Asignado en la planificación del sprint</t>
  </si>
  <si>
    <t xml:space="preserve">Baja (S4)</t>
  </si>
  <si>
    <t xml:space="preserve">Defecto cosmético o mejora menor</t>
  </si>
  <si>
    <t xml:space="preserve">Texto desalineado en el pie del boletín</t>
  </si>
  <si>
    <t xml:space="preserve">3 días hábiles</t>
  </si>
  <si>
    <t xml:space="preserve">Siguiente sprint</t>
  </si>
  <si>
    <t xml:space="preserve">Componentes de terceros (Sección 11 del SQAP)</t>
  </si>
  <si>
    <t xml:space="preserve">Una fila por dependencia directa. Se revisa al agregar una dependencia y el primer lunes de cada mes (Sección 11 del SQAP). Completar las columnas [fecha] al crear el proyecto.</t>
  </si>
  <si>
    <t xml:space="preserve">Componente</t>
  </si>
  <si>
    <t xml:space="preserve">Versión</t>
  </si>
  <si>
    <t xml:space="preserve">Licencia</t>
  </si>
  <si>
    <t xml:space="preserve">Justificación de uso</t>
  </si>
  <si>
    <t xml:space="preserve">Mantenimiento activo (último release)</t>
  </si>
  <si>
    <t xml:space="preserve">Vulnerabilidades conocidas</t>
  </si>
  <si>
    <t xml:space="preserve">Responsable de actualizar</t>
  </si>
  <si>
    <t xml:space="preserve">Última revisión</t>
  </si>
  <si>
    <t xml:space="preserve">@nestjs/core, @nestjs/common</t>
  </si>
  <si>
    <t xml:space="preserve">Según package-lock.json</t>
  </si>
  <si>
    <t xml:space="preserve">MIT</t>
  </si>
  <si>
    <t xml:space="preserve">Framework de la API</t>
  </si>
  <si>
    <t xml:space="preserve">[fecha]</t>
  </si>
  <si>
    <t xml:space="preserve">0 (npm audit)</t>
  </si>
  <si>
    <t xml:space="preserve">Lujan (Arquitecto)</t>
  </si>
  <si>
    <t xml:space="preserve">typeorm, @nestjs/typeorm, pg</t>
  </si>
  <si>
    <t xml:space="preserve">ORM, entidades y migraciones de PostgreSQL</t>
  </si>
  <si>
    <t xml:space="preserve">@nestjs/passport, @nestjs/jwt, passport-jwt</t>
  </si>
  <si>
    <t xml:space="preserve">Autenticación (US-17)</t>
  </si>
  <si>
    <t xml:space="preserve">argon2</t>
  </si>
  <si>
    <t xml:space="preserve">Hash de contraseñas</t>
  </si>
  <si>
    <t xml:space="preserve">class-validator, class-transformer</t>
  </si>
  <si>
    <t xml:space="preserve">Validación de DTO</t>
  </si>
  <si>
    <t xml:space="preserve">decimal.js</t>
  </si>
  <si>
    <t xml:space="preserve">Aritmética exacta del cálculo (RNF-01)</t>
  </si>
  <si>
    <t xml:space="preserve">pdfkit</t>
  </si>
  <si>
    <t xml:space="preserve">0.20.2</t>
  </si>
  <si>
    <t xml:space="preserve">Boletín en PDF (US-07). Se usa directo en vez de pdfmake (que se apoya en pdfkit): el boletín es una tabla simple y así se evita una capa más</t>
  </si>
  <si>
    <t xml:space="preserve">30/08/2026</t>
  </si>
  <si>
    <t xml:space="preserve">29/10/2026</t>
  </si>
  <si>
    <t xml:space="preserve">bullmq, ioredis</t>
  </si>
  <si>
    <t xml:space="preserve">6.3.15 y 5.11.1 (exactas)</t>
  </si>
  <si>
    <t xml:space="preserve">Cola de boletines (RNF-03, R05, ADR-0006). Se fija una versión de bullmq de más de dos semanas. Su dependencia opcional msgpackr-extract (binario nativo) queda denegada en allowScripts: msgpackr funciona sin ella</t>
  </si>
  <si>
    <t xml:space="preserve">bullmq 14/10/2026; ioredis 04/06/2026</t>
  </si>
  <si>
    <t xml:space="preserve">exceljs</t>
  </si>
  <si>
    <t xml:space="preserve">4.4.0</t>
  </si>
  <si>
    <t xml:space="preserve">Importación (US-05) y exportación (US-09)</t>
  </si>
  <si>
    <t xml:space="preserve">19/10/2023 (sin versiones nuevas desde entonces: revisar cada mes)</t>
  </si>
  <si>
    <t xml:space="preserve">0 (npm audit). Su uuid se fuerza a 11.1.1 con overrides por GHSA-w5hq-g745-h8pq</t>
  </si>
  <si>
    <t xml:space="preserve">21/10/2026</t>
  </si>
  <si>
    <t xml:space="preserve">@nestjs/swagger</t>
  </si>
  <si>
    <t xml:space="preserve">Contrato OpenAPI de la API</t>
  </si>
  <si>
    <t xml:space="preserve">react, react-dom, vite</t>
  </si>
  <si>
    <t xml:space="preserve">Aplicación web</t>
  </si>
  <si>
    <t xml:space="preserve">Galvan (Tester)</t>
  </si>
  <si>
    <t xml:space="preserve">jest, ts-jest, supertest</t>
  </si>
  <si>
    <t xml:space="preserve">Pruebas unitarias y de integración</t>
  </si>
  <si>
    <t xml:space="preserve">vitest</t>
  </si>
  <si>
    <t xml:space="preserve">Pruebas de la web</t>
  </si>
  <si>
    <t xml:space="preserve">cypress</t>
  </si>
  <si>
    <t xml:space="preserve">Pruebas E2E</t>
  </si>
  <si>
    <t xml:space="preserve">@faker-js/faker</t>
  </si>
  <si>
    <t xml:space="preserve">Datos sintéticos (R07)</t>
  </si>
  <si>
    <t xml:space="preserve">eslint, typescript-eslint, prettier</t>
  </si>
  <si>
    <t xml:space="preserve">Estándar de código (M16)</t>
  </si>
  <si>
    <t xml:space="preserve">Galvan (SQA)</t>
  </si>
  <si>
    <t xml:space="preserve">husky, lint-staged, @commitlint/cli</t>
  </si>
  <si>
    <t xml:space="preserve">Hooks locales y Conventional Commits</t>
  </si>
  <si>
    <t xml:space="preserve">Apache JMeter</t>
  </si>
  <si>
    <t xml:space="preserve">5.6.3</t>
  </si>
  <si>
    <t xml:space="preserve">Apache-2.0</t>
  </si>
  <si>
    <t xml:space="preserve">Pruebas de carga (M03, M04)</t>
  </si>
  <si>
    <t xml:space="preserve">—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</si>
</sst>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76717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4" topLeftCell="A5" activePane="bottomLeft" state="frozen"/>
      <selection pane="topLeft" activeCell="B1" activeCellId="0" sqref="B1"/>
      <selection pane="bottomLeft" activeCell="J5" activeCellId="0" sqref="J5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4" min="3" style="1" width="30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30"/>
  </cols>
  <sheetData>
    <row r="1" customFormat="false" ht="18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4" customFormat="false" ht="28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8.5" hidden="false" customHeight="tru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</row>
    <row r="6" customFormat="false" ht="28.5" hidden="false" customHeight="true" outlineLevel="0" collapsed="false">
      <c r="A6" s="5" t="s">
        <v>13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20</v>
      </c>
      <c r="I6" s="5" t="s">
        <v>30</v>
      </c>
      <c r="J6" s="5" t="s">
        <v>31</v>
      </c>
      <c r="K6" s="5" t="s">
        <v>32</v>
      </c>
    </row>
    <row r="7" customFormat="false" ht="28.5" hidden="false" customHeight="true" outlineLevel="0" collapsed="false">
      <c r="A7" s="5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5" t="s">
        <v>41</v>
      </c>
      <c r="J7" s="5" t="s">
        <v>31</v>
      </c>
      <c r="K7" s="5" t="s">
        <v>42</v>
      </c>
    </row>
    <row r="8" customFormat="false" ht="28.5" hidden="false" customHeight="true" outlineLevel="0" collapsed="false">
      <c r="A8" s="5" t="s">
        <v>33</v>
      </c>
      <c r="B8" s="5" t="s">
        <v>43</v>
      </c>
      <c r="C8" s="5" t="s">
        <v>44</v>
      </c>
      <c r="D8" s="5" t="s">
        <v>45</v>
      </c>
      <c r="E8" s="5" t="s">
        <v>37</v>
      </c>
      <c r="F8" s="5" t="s">
        <v>38</v>
      </c>
      <c r="G8" s="5" t="s">
        <v>39</v>
      </c>
      <c r="H8" s="5" t="s">
        <v>46</v>
      </c>
      <c r="I8" s="5" t="s">
        <v>47</v>
      </c>
      <c r="J8" s="5" t="s">
        <v>31</v>
      </c>
      <c r="K8" s="5" t="s">
        <v>48</v>
      </c>
    </row>
    <row r="9" customFormat="false" ht="28.5" hidden="false" customHeight="true" outlineLevel="0" collapsed="false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29</v>
      </c>
      <c r="H9" s="5" t="s">
        <v>55</v>
      </c>
      <c r="I9" s="5" t="s">
        <v>56</v>
      </c>
      <c r="J9" s="5" t="s">
        <v>57</v>
      </c>
      <c r="K9" s="5" t="s">
        <v>58</v>
      </c>
    </row>
    <row r="10" customFormat="false" ht="28.5" hidden="false" customHeight="true" outlineLevel="0" collapsed="false">
      <c r="A10" s="5" t="s">
        <v>49</v>
      </c>
      <c r="B10" s="5" t="s">
        <v>50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57</v>
      </c>
      <c r="K10" s="5" t="s">
        <v>66</v>
      </c>
    </row>
    <row r="11" customFormat="false" ht="28.5" hidden="false" customHeight="true" outlineLevel="0" collapsed="false">
      <c r="A11" s="5" t="s">
        <v>49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54</v>
      </c>
      <c r="G11" s="5" t="s">
        <v>29</v>
      </c>
      <c r="H11" s="5" t="s">
        <v>71</v>
      </c>
      <c r="I11" s="5" t="s">
        <v>72</v>
      </c>
      <c r="J11" s="5" t="s">
        <v>57</v>
      </c>
      <c r="K11" s="5" t="s">
        <v>73</v>
      </c>
    </row>
    <row r="12" customFormat="false" ht="28.5" hidden="false" customHeight="true" outlineLevel="0" collapsed="false">
      <c r="A12" s="5" t="s">
        <v>74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80</v>
      </c>
      <c r="H12" s="5" t="s">
        <v>81</v>
      </c>
      <c r="I12" s="5" t="s">
        <v>82</v>
      </c>
      <c r="J12" s="5" t="s">
        <v>57</v>
      </c>
      <c r="K12" s="5" t="s">
        <v>83</v>
      </c>
    </row>
    <row r="13" customFormat="false" ht="28.5" hidden="false" customHeight="true" outlineLevel="0" collapsed="false">
      <c r="A13" s="5" t="s">
        <v>74</v>
      </c>
      <c r="B13" s="5" t="s">
        <v>84</v>
      </c>
      <c r="C13" s="5" t="s">
        <v>85</v>
      </c>
      <c r="D13" s="5" t="s">
        <v>86</v>
      </c>
      <c r="E13" s="5" t="s">
        <v>87</v>
      </c>
      <c r="F13" s="5" t="s">
        <v>88</v>
      </c>
      <c r="G13" s="5" t="s">
        <v>63</v>
      </c>
      <c r="H13" s="5" t="s">
        <v>20</v>
      </c>
      <c r="I13" s="5" t="s">
        <v>89</v>
      </c>
      <c r="J13" s="5" t="s">
        <v>22</v>
      </c>
      <c r="K13" s="5" t="s">
        <v>90</v>
      </c>
    </row>
    <row r="14" customFormat="false" ht="28.5" hidden="false" customHeight="true" outlineLevel="0" collapsed="false">
      <c r="A14" s="5" t="s">
        <v>91</v>
      </c>
      <c r="B14" s="5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  <c r="H14" s="5" t="s">
        <v>98</v>
      </c>
      <c r="I14" s="5" t="s">
        <v>99</v>
      </c>
      <c r="J14" s="5" t="s">
        <v>31</v>
      </c>
      <c r="K14" s="5" t="s">
        <v>100</v>
      </c>
    </row>
    <row r="15" customFormat="false" ht="28.5" hidden="false" customHeight="true" outlineLevel="0" collapsed="false">
      <c r="A15" s="5" t="s">
        <v>91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106</v>
      </c>
      <c r="H15" s="5" t="s">
        <v>107</v>
      </c>
      <c r="I15" s="5" t="s">
        <v>99</v>
      </c>
      <c r="J15" s="5" t="s">
        <v>31</v>
      </c>
      <c r="K15" s="5" t="s">
        <v>108</v>
      </c>
    </row>
    <row r="16" customFormat="false" ht="28.5" hidden="false" customHeight="true" outlineLevel="0" collapsed="false">
      <c r="A16" s="5" t="s">
        <v>109</v>
      </c>
      <c r="B16" s="5" t="s">
        <v>110</v>
      </c>
      <c r="C16" s="5" t="s">
        <v>111</v>
      </c>
      <c r="D16" s="5" t="s">
        <v>112</v>
      </c>
      <c r="E16" s="5" t="s">
        <v>113</v>
      </c>
      <c r="F16" s="5" t="s">
        <v>114</v>
      </c>
      <c r="G16" s="5" t="s">
        <v>115</v>
      </c>
      <c r="H16" s="5" t="s">
        <v>116</v>
      </c>
      <c r="I16" s="5" t="s">
        <v>117</v>
      </c>
      <c r="J16" s="5" t="s">
        <v>57</v>
      </c>
      <c r="K16" s="5" t="s">
        <v>118</v>
      </c>
    </row>
    <row r="17" customFormat="false" ht="28.5" hidden="false" customHeight="true" outlineLevel="0" collapsed="false">
      <c r="A17" s="5" t="s">
        <v>109</v>
      </c>
      <c r="B17" s="5" t="s">
        <v>119</v>
      </c>
      <c r="C17" s="5" t="s">
        <v>120</v>
      </c>
      <c r="D17" s="5" t="s">
        <v>121</v>
      </c>
      <c r="E17" s="5" t="s">
        <v>122</v>
      </c>
      <c r="F17" s="5" t="s">
        <v>123</v>
      </c>
      <c r="G17" s="5" t="s">
        <v>124</v>
      </c>
      <c r="H17" s="5" t="s">
        <v>125</v>
      </c>
      <c r="I17" s="5" t="s">
        <v>126</v>
      </c>
      <c r="J17" s="5" t="s">
        <v>22</v>
      </c>
      <c r="K17" s="5" t="s">
        <v>127</v>
      </c>
    </row>
    <row r="18" customFormat="false" ht="28.5" hidden="false" customHeight="true" outlineLevel="0" collapsed="false">
      <c r="A18" s="5" t="s">
        <v>74</v>
      </c>
      <c r="B18" s="5" t="s">
        <v>128</v>
      </c>
      <c r="C18" s="5" t="s">
        <v>129</v>
      </c>
      <c r="D18" s="5" t="s">
        <v>130</v>
      </c>
      <c r="E18" s="5" t="s">
        <v>87</v>
      </c>
      <c r="F18" s="5" t="s">
        <v>131</v>
      </c>
      <c r="G18" s="5" t="s">
        <v>63</v>
      </c>
      <c r="H18" s="5" t="s">
        <v>20</v>
      </c>
      <c r="I18" s="5" t="s">
        <v>89</v>
      </c>
      <c r="J18" s="5" t="s">
        <v>22</v>
      </c>
      <c r="K18" s="5" t="s">
        <v>132</v>
      </c>
    </row>
    <row r="19" customFormat="false" ht="28.5" hidden="false" customHeight="true" outlineLevel="0" collapsed="false">
      <c r="A19" s="5" t="s">
        <v>49</v>
      </c>
      <c r="B19" s="5" t="s">
        <v>133</v>
      </c>
      <c r="C19" s="5" t="s">
        <v>134</v>
      </c>
      <c r="D19" s="5" t="s">
        <v>135</v>
      </c>
      <c r="E19" s="5" t="s">
        <v>136</v>
      </c>
      <c r="F19" s="5" t="s">
        <v>137</v>
      </c>
      <c r="G19" s="5" t="s">
        <v>138</v>
      </c>
      <c r="H19" s="5" t="s">
        <v>81</v>
      </c>
      <c r="I19" s="5" t="s">
        <v>72</v>
      </c>
      <c r="J19" s="5" t="s">
        <v>57</v>
      </c>
      <c r="K19" s="5" t="s">
        <v>139</v>
      </c>
    </row>
    <row r="20" customFormat="false" ht="14.2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4.2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4.2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4.2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44"/>
    <col collapsed="false" customWidth="true" hidden="false" outlineLevel="0" max="9" min="9" style="1" width="14"/>
    <col collapsed="false" customWidth="true" hidden="false" outlineLevel="0" max="10" min="10" style="1" width="28"/>
    <col collapsed="false" customWidth="true" hidden="false" outlineLevel="0" max="11" min="11" style="1" width="34"/>
  </cols>
  <sheetData>
    <row r="1" customFormat="false" ht="18" hidden="false" customHeight="true" outlineLevel="0" collapsed="false">
      <c r="A1" s="2" t="s">
        <v>140</v>
      </c>
    </row>
    <row r="2" customFormat="false" ht="14.25" hidden="false" customHeight="true" outlineLevel="0" collapsed="false">
      <c r="A2" s="3" t="s">
        <v>141</v>
      </c>
    </row>
    <row r="4" customFormat="false" ht="28.5" hidden="false" customHeight="true" outlineLevel="0" collapsed="false">
      <c r="A4" s="4" t="s">
        <v>142</v>
      </c>
      <c r="B4" s="4" t="s">
        <v>143</v>
      </c>
      <c r="C4" s="4" t="s">
        <v>144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11</v>
      </c>
      <c r="J4" s="4" t="s">
        <v>150</v>
      </c>
      <c r="K4" s="4" t="s">
        <v>151</v>
      </c>
    </row>
    <row r="5" customFormat="false" ht="42.75" hidden="false" customHeight="true" outlineLevel="0" collapsed="false">
      <c r="A5" s="6" t="s">
        <v>152</v>
      </c>
      <c r="B5" s="6" t="s">
        <v>153</v>
      </c>
      <c r="C5" s="6" t="s">
        <v>154</v>
      </c>
      <c r="D5" s="6" t="n">
        <v>3</v>
      </c>
      <c r="E5" s="6" t="n">
        <v>3</v>
      </c>
      <c r="F5" s="6" t="n">
        <f aca="false">IF(OR(D5="",E5=""),"",D5*E5)</f>
        <v>9</v>
      </c>
      <c r="G5" s="6" t="str">
        <f aca="false">IF(F5="","",IF(F5&gt;=6,"Alto",IF(F5&gt;=3,"Medio","Bajo")))</f>
        <v>Alto</v>
      </c>
      <c r="H5" s="6" t="s">
        <v>155</v>
      </c>
      <c r="I5" s="6" t="s">
        <v>156</v>
      </c>
      <c r="J5" s="6" t="s">
        <v>157</v>
      </c>
      <c r="K5" s="6" t="s">
        <v>158</v>
      </c>
    </row>
    <row r="6" customFormat="false" ht="42.75" hidden="false" customHeight="true" outlineLevel="0" collapsed="false">
      <c r="A6" s="6" t="s">
        <v>159</v>
      </c>
      <c r="B6" s="6" t="s">
        <v>160</v>
      </c>
      <c r="C6" s="6" t="s">
        <v>161</v>
      </c>
      <c r="D6" s="6" t="n">
        <v>2</v>
      </c>
      <c r="E6" s="6" t="n">
        <v>3</v>
      </c>
      <c r="F6" s="6" t="n">
        <f aca="false">IF(OR(D6="",E6=""),"",D6*E6)</f>
        <v>6</v>
      </c>
      <c r="G6" s="6" t="str">
        <f aca="false">IF(F6="","",IF(F6&gt;=6,"Alto",IF(F6&gt;=3,"Medio","Bajo")))</f>
        <v>Alto</v>
      </c>
      <c r="H6" s="6" t="s">
        <v>162</v>
      </c>
      <c r="I6" s="6" t="s">
        <v>156</v>
      </c>
      <c r="J6" s="6" t="s">
        <v>163</v>
      </c>
      <c r="K6" s="6" t="s">
        <v>164</v>
      </c>
    </row>
    <row r="7" customFormat="false" ht="42.75" hidden="false" customHeight="true" outlineLevel="0" collapsed="false">
      <c r="A7" s="6" t="s">
        <v>165</v>
      </c>
      <c r="B7" s="6" t="s">
        <v>166</v>
      </c>
      <c r="C7" s="6" t="s">
        <v>167</v>
      </c>
      <c r="D7" s="6" t="n">
        <v>2</v>
      </c>
      <c r="E7" s="6" t="n">
        <v>3</v>
      </c>
      <c r="F7" s="6" t="n">
        <f aca="false">IF(OR(D7="",E7=""),"",D7*E7)</f>
        <v>6</v>
      </c>
      <c r="G7" s="6" t="str">
        <f aca="false">IF(F7="","",IF(F7&gt;=6,"Alto",IF(F7&gt;=3,"Medio","Bajo")))</f>
        <v>Alto</v>
      </c>
      <c r="H7" s="6" t="s">
        <v>168</v>
      </c>
      <c r="I7" s="6" t="s">
        <v>169</v>
      </c>
      <c r="J7" s="6" t="s">
        <v>170</v>
      </c>
      <c r="K7" s="6" t="s">
        <v>171</v>
      </c>
    </row>
    <row r="8" customFormat="false" ht="42.75" hidden="false" customHeight="true" outlineLevel="0" collapsed="false">
      <c r="A8" s="6" t="s">
        <v>172</v>
      </c>
      <c r="B8" s="6" t="s">
        <v>173</v>
      </c>
      <c r="C8" s="6" t="s">
        <v>174</v>
      </c>
      <c r="D8" s="6" t="n">
        <v>2</v>
      </c>
      <c r="E8" s="6" t="n">
        <v>3</v>
      </c>
      <c r="F8" s="6" t="n">
        <f aca="false">IF(OR(D8="",E8=""),"",D8*E8)</f>
        <v>6</v>
      </c>
      <c r="G8" s="6" t="str">
        <f aca="false">IF(F8="","",IF(F8&gt;=6,"Alto",IF(F8&gt;=3,"Medio","Bajo")))</f>
        <v>Alto</v>
      </c>
      <c r="H8" s="6" t="s">
        <v>175</v>
      </c>
      <c r="I8" s="6" t="s">
        <v>169</v>
      </c>
      <c r="J8" s="6" t="s">
        <v>176</v>
      </c>
      <c r="K8" s="6" t="s">
        <v>177</v>
      </c>
    </row>
    <row r="9" customFormat="false" ht="42.75" hidden="false" customHeight="true" outlineLevel="0" collapsed="false">
      <c r="A9" s="6" t="s">
        <v>178</v>
      </c>
      <c r="B9" s="6" t="s">
        <v>179</v>
      </c>
      <c r="C9" s="6" t="s">
        <v>167</v>
      </c>
      <c r="D9" s="6" t="n">
        <v>3</v>
      </c>
      <c r="E9" s="6" t="n">
        <v>3</v>
      </c>
      <c r="F9" s="6" t="n">
        <f aca="false">IF(OR(D9="",E9=""),"",D9*E9)</f>
        <v>9</v>
      </c>
      <c r="G9" s="6" t="str">
        <f aca="false">IF(F9="","",IF(F9&gt;=6,"Alto",IF(F9&gt;=3,"Medio","Bajo")))</f>
        <v>Alto</v>
      </c>
      <c r="H9" s="6" t="s">
        <v>180</v>
      </c>
      <c r="I9" s="6" t="s">
        <v>156</v>
      </c>
      <c r="J9" s="6" t="s">
        <v>181</v>
      </c>
      <c r="K9" s="6" t="s">
        <v>182</v>
      </c>
    </row>
    <row r="10" customFormat="false" ht="42.75" hidden="false" customHeight="true" outlineLevel="0" collapsed="false">
      <c r="A10" s="6" t="s">
        <v>183</v>
      </c>
      <c r="B10" s="6" t="s">
        <v>184</v>
      </c>
      <c r="C10" s="6" t="s">
        <v>185</v>
      </c>
      <c r="D10" s="6" t="n">
        <v>2</v>
      </c>
      <c r="E10" s="6" t="n">
        <v>3</v>
      </c>
      <c r="F10" s="6" t="n">
        <f aca="false">IF(OR(D10="",E10=""),"",D10*E10)</f>
        <v>6</v>
      </c>
      <c r="G10" s="6" t="str">
        <f aca="false">IF(F10="","",IF(F10&gt;=6,"Alto",IF(F10&gt;=3,"Medio","Bajo")))</f>
        <v>Alto</v>
      </c>
      <c r="H10" s="6" t="s">
        <v>186</v>
      </c>
      <c r="I10" s="6" t="s">
        <v>156</v>
      </c>
      <c r="J10" s="6" t="s">
        <v>187</v>
      </c>
      <c r="K10" s="6" t="s">
        <v>188</v>
      </c>
    </row>
    <row r="11" customFormat="false" ht="42.75" hidden="false" customHeight="true" outlineLevel="0" collapsed="false">
      <c r="A11" s="6" t="s">
        <v>189</v>
      </c>
      <c r="B11" s="6" t="s">
        <v>190</v>
      </c>
      <c r="C11" s="6" t="s">
        <v>191</v>
      </c>
      <c r="D11" s="6" t="n">
        <v>1</v>
      </c>
      <c r="E11" s="6" t="n">
        <v>3</v>
      </c>
      <c r="F11" s="6" t="n">
        <f aca="false">IF(OR(D11="",E11=""),"",D11*E11)</f>
        <v>3</v>
      </c>
      <c r="G11" s="6" t="str">
        <f aca="false">IF(F11="","",IF(F11&gt;=6,"Alto",IF(F11&gt;=3,"Medio","Bajo")))</f>
        <v>Medio</v>
      </c>
      <c r="H11" s="6" t="s">
        <v>192</v>
      </c>
      <c r="I11" s="6" t="s">
        <v>169</v>
      </c>
      <c r="J11" s="6" t="s">
        <v>193</v>
      </c>
      <c r="K11" s="6" t="s">
        <v>194</v>
      </c>
    </row>
    <row r="12" customFormat="false" ht="42.75" hidden="false" customHeight="true" outlineLevel="0" collapsed="false">
      <c r="A12" s="6" t="s">
        <v>195</v>
      </c>
      <c r="B12" s="6" t="s">
        <v>196</v>
      </c>
      <c r="C12" s="6" t="s">
        <v>154</v>
      </c>
      <c r="D12" s="6" t="n">
        <v>3</v>
      </c>
      <c r="E12" s="6" t="n">
        <v>2</v>
      </c>
      <c r="F12" s="6" t="n">
        <f aca="false">IF(OR(D12="",E12=""),"",D12*E12)</f>
        <v>6</v>
      </c>
      <c r="G12" s="6" t="str">
        <f aca="false">IF(F12="","",IF(F12&gt;=6,"Alto",IF(F12&gt;=3,"Medio","Bajo")))</f>
        <v>Alto</v>
      </c>
      <c r="H12" s="6" t="s">
        <v>197</v>
      </c>
      <c r="I12" s="6" t="s">
        <v>156</v>
      </c>
      <c r="J12" s="6" t="s">
        <v>198</v>
      </c>
      <c r="K12" s="6" t="s">
        <v>199</v>
      </c>
    </row>
    <row r="13" customFormat="false" ht="42.75" hidden="false" customHeight="true" outlineLevel="0" collapsed="false">
      <c r="A13" s="6" t="s">
        <v>200</v>
      </c>
      <c r="B13" s="6" t="s">
        <v>201</v>
      </c>
      <c r="C13" s="6" t="s">
        <v>202</v>
      </c>
      <c r="D13" s="6" t="n">
        <v>3</v>
      </c>
      <c r="E13" s="6" t="n">
        <v>3</v>
      </c>
      <c r="F13" s="6" t="n">
        <f aca="false">IF(OR(D13="",E13=""),"",D13*E13)</f>
        <v>9</v>
      </c>
      <c r="G13" s="6" t="str">
        <f aca="false">IF(F13="","",IF(F13&gt;=6,"Alto",IF(F13&gt;=3,"Medio","Bajo")))</f>
        <v>Alto</v>
      </c>
      <c r="H13" s="6" t="s">
        <v>203</v>
      </c>
      <c r="I13" s="6" t="s">
        <v>156</v>
      </c>
      <c r="J13" s="6" t="s">
        <v>204</v>
      </c>
      <c r="K13" s="6" t="s">
        <v>205</v>
      </c>
    </row>
    <row r="14" customFormat="false" ht="42.75" hidden="false" customHeight="true" outlineLevel="0" collapsed="false">
      <c r="A14" s="6" t="s">
        <v>206</v>
      </c>
      <c r="B14" s="6" t="s">
        <v>207</v>
      </c>
      <c r="C14" s="6" t="s">
        <v>185</v>
      </c>
      <c r="D14" s="6" t="n">
        <v>2</v>
      </c>
      <c r="E14" s="6" t="n">
        <v>2</v>
      </c>
      <c r="F14" s="6" t="n">
        <f aca="false">IF(OR(D14="",E14=""),"",D14*E14)</f>
        <v>4</v>
      </c>
      <c r="G14" s="6" t="str">
        <f aca="false">IF(F14="","",IF(F14&gt;=6,"Alto",IF(F14&gt;=3,"Medio","Bajo")))</f>
        <v>Medio</v>
      </c>
      <c r="H14" s="6" t="s">
        <v>208</v>
      </c>
      <c r="I14" s="6" t="s">
        <v>169</v>
      </c>
      <c r="J14" s="6" t="s">
        <v>209</v>
      </c>
      <c r="K14" s="6" t="s">
        <v>210</v>
      </c>
    </row>
    <row r="15" customFormat="false" ht="42.75" hidden="false" customHeight="true" outlineLevel="0" collapsed="false">
      <c r="A15" s="6" t="s">
        <v>211</v>
      </c>
      <c r="B15" s="6" t="s">
        <v>212</v>
      </c>
      <c r="C15" s="6" t="s">
        <v>161</v>
      </c>
      <c r="D15" s="6" t="n">
        <v>1</v>
      </c>
      <c r="E15" s="6" t="n">
        <v>3</v>
      </c>
      <c r="F15" s="6" t="n">
        <f aca="false">IF(OR(D15="",E15=""),"",D15*E15)</f>
        <v>3</v>
      </c>
      <c r="G15" s="6" t="str">
        <f aca="false">IF(F15="","",IF(F15&gt;=6,"Alto",IF(F15&gt;=3,"Medio","Bajo")))</f>
        <v>Medio</v>
      </c>
      <c r="H15" s="6" t="s">
        <v>213</v>
      </c>
      <c r="I15" s="6" t="s">
        <v>156</v>
      </c>
      <c r="J15" s="6" t="s">
        <v>214</v>
      </c>
      <c r="K15" s="6" t="s">
        <v>215</v>
      </c>
    </row>
    <row r="16" customFormat="false" ht="42.75" hidden="false" customHeight="true" outlineLevel="0" collapsed="false">
      <c r="A16" s="6" t="s">
        <v>216</v>
      </c>
      <c r="B16" s="6" t="s">
        <v>217</v>
      </c>
      <c r="C16" s="6" t="s">
        <v>74</v>
      </c>
      <c r="D16" s="6" t="n">
        <v>1</v>
      </c>
      <c r="E16" s="6" t="n">
        <v>3</v>
      </c>
      <c r="F16" s="6" t="n">
        <f aca="false">IF(OR(D16="",E16=""),"",D16*E16)</f>
        <v>3</v>
      </c>
      <c r="G16" s="6" t="str">
        <f aca="false">IF(F16="","",IF(F16&gt;=6,"Alto",IF(F16&gt;=3,"Medio","Bajo")))</f>
        <v>Medio</v>
      </c>
      <c r="H16" s="6" t="s">
        <v>218</v>
      </c>
      <c r="I16" s="6" t="s">
        <v>169</v>
      </c>
      <c r="J16" s="6" t="s">
        <v>219</v>
      </c>
      <c r="K16" s="6" t="s">
        <v>220</v>
      </c>
    </row>
    <row r="17" customFormat="false" ht="42.75" hidden="false" customHeight="true" outlineLevel="0" collapsed="false">
      <c r="A17" s="6" t="s">
        <v>221</v>
      </c>
      <c r="B17" s="6" t="s">
        <v>222</v>
      </c>
      <c r="C17" s="6" t="s">
        <v>223</v>
      </c>
      <c r="D17" s="6" t="n">
        <v>2</v>
      </c>
      <c r="E17" s="6" t="n">
        <v>3</v>
      </c>
      <c r="F17" s="6" t="n">
        <f aca="false">IF(OR(D17="",E17=""),"",D17*E17)</f>
        <v>6</v>
      </c>
      <c r="G17" s="6" t="str">
        <f aca="false">IF(F17="","",IF(F17&gt;=6,"Alto",IF(F17&gt;=3,"Medio","Bajo")))</f>
        <v>Alto</v>
      </c>
      <c r="H17" s="6" t="s">
        <v>224</v>
      </c>
      <c r="I17" s="6" t="s">
        <v>156</v>
      </c>
      <c r="J17" s="6" t="s">
        <v>225</v>
      </c>
      <c r="K17" s="6" t="s">
        <v>226</v>
      </c>
    </row>
    <row r="18" customFormat="false" ht="42.75" hidden="false" customHeight="true" outlineLevel="0" collapsed="false">
      <c r="A18" s="6" t="s">
        <v>227</v>
      </c>
      <c r="B18" s="6" t="s">
        <v>228</v>
      </c>
      <c r="C18" s="6" t="s">
        <v>161</v>
      </c>
      <c r="D18" s="6" t="n">
        <v>2</v>
      </c>
      <c r="E18" s="6" t="n">
        <v>2</v>
      </c>
      <c r="F18" s="6" t="n">
        <f aca="false">IF(OR(D18="",E18=""),"",D18*E18)</f>
        <v>4</v>
      </c>
      <c r="G18" s="6" t="str">
        <f aca="false">IF(F18="","",IF(F18&gt;=6,"Alto",IF(F18&gt;=3,"Medio","Bajo")))</f>
        <v>Medio</v>
      </c>
      <c r="H18" s="6" t="s">
        <v>229</v>
      </c>
      <c r="I18" s="6" t="s">
        <v>156</v>
      </c>
      <c r="J18" s="6" t="s">
        <v>230</v>
      </c>
      <c r="K18" s="6" t="s">
        <v>231</v>
      </c>
    </row>
    <row r="19" customFormat="false" ht="14.25" hidden="false" customHeight="true" outlineLevel="0" collapsed="false">
      <c r="A19" s="6"/>
      <c r="B19" s="6"/>
      <c r="C19" s="6"/>
      <c r="D19" s="6"/>
      <c r="E19" s="6"/>
      <c r="F19" s="6" t="str">
        <f aca="false">IF(OR(D19="",E19=""),"",D19*E19)</f>
        <v/>
      </c>
      <c r="G19" s="6" t="str">
        <f aca="false">IF(F19="","",IF(F19&gt;=6,"Alto",IF(F19&gt;=3,"Medio","Bajo")))</f>
        <v/>
      </c>
      <c r="H19" s="6"/>
      <c r="I19" s="6"/>
      <c r="J19" s="6"/>
      <c r="K19" s="6"/>
    </row>
    <row r="20" customFormat="false" ht="14.25" hidden="false" customHeight="true" outlineLevel="0" collapsed="false">
      <c r="A20" s="6"/>
      <c r="B20" s="6"/>
      <c r="C20" s="6"/>
      <c r="D20" s="6"/>
      <c r="E20" s="6"/>
      <c r="F20" s="6" t="str">
        <f aca="false">IF(OR(D20="",E20=""),"",D20*E20)</f>
        <v/>
      </c>
      <c r="G20" s="6" t="str">
        <f aca="false">IF(F20="","",IF(F20&gt;=6,"Alto",IF(F20&gt;=3,"Medio","Bajo")))</f>
        <v/>
      </c>
      <c r="H20" s="6"/>
      <c r="I20" s="6"/>
      <c r="J20" s="6"/>
      <c r="K20" s="6"/>
    </row>
    <row r="21" customFormat="false" ht="14.25" hidden="false" customHeight="true" outlineLevel="0" collapsed="false">
      <c r="A21" s="6"/>
      <c r="B21" s="6"/>
      <c r="C21" s="6"/>
      <c r="D21" s="6"/>
      <c r="E21" s="6"/>
      <c r="F21" s="6" t="str">
        <f aca="false">IF(OR(D21="",E21=""),"",D21*E21)</f>
        <v/>
      </c>
      <c r="G21" s="6" t="str">
        <f aca="false">IF(F21="","",IF(F21&gt;=6,"Alto",IF(F21&gt;=3,"Medio","Bajo")))</f>
        <v/>
      </c>
      <c r="H21" s="6"/>
      <c r="I21" s="6"/>
      <c r="J21" s="6"/>
      <c r="K21" s="6"/>
    </row>
    <row r="22" customFormat="false" ht="14.25" hidden="false" customHeight="true" outlineLevel="0" collapsed="false">
      <c r="A22" s="6"/>
      <c r="B22" s="6"/>
      <c r="C22" s="6"/>
      <c r="D22" s="6"/>
      <c r="E22" s="6"/>
      <c r="F22" s="6" t="str">
        <f aca="false">IF(OR(D22="",E22=""),"",D22*E22)</f>
        <v/>
      </c>
      <c r="G22" s="6" t="str">
        <f aca="false">IF(F22="","",IF(F22&gt;=6,"Alto",IF(F22&gt;=3,"Medio","Bajo")))</f>
        <v/>
      </c>
      <c r="H22" s="6"/>
      <c r="I22" s="6"/>
      <c r="J22" s="6"/>
      <c r="K22" s="6"/>
    </row>
    <row r="23" customFormat="false" ht="14.25" hidden="false" customHeight="true" outlineLevel="0" collapsed="false">
      <c r="A23" s="6"/>
      <c r="B23" s="6"/>
      <c r="C23" s="6"/>
      <c r="D23" s="6"/>
      <c r="E23" s="6"/>
      <c r="F23" s="6" t="str">
        <f aca="false">IF(OR(D23="",E23=""),"",D23*E23)</f>
        <v/>
      </c>
      <c r="G23" s="6" t="str">
        <f aca="false">IF(F23="","",IF(F23&gt;=6,"Alto",IF(F23&gt;=3,"Medio","Bajo")))</f>
        <v/>
      </c>
      <c r="H23" s="6"/>
      <c r="I23" s="6"/>
      <c r="J23" s="6"/>
      <c r="K23" s="6"/>
    </row>
  </sheetData>
  <conditionalFormatting sqref="G5:G23">
    <cfRule type="cellIs" priority="2" operator="equal" aboveAverage="0" equalAverage="0" bottom="0" percent="0" rank="0" text="" dxfId="0">
      <formula>"Alto"</formula>
    </cfRule>
    <cfRule type="cellIs" priority="3" operator="equal" aboveAverage="0" equalAverage="0" bottom="0" percent="0" rank="0" text="" dxfId="1">
      <formula>"Medio"</formula>
    </cfRule>
    <cfRule type="cellIs" priority="4" operator="equal" aboveAverage="0" equalAverage="0" bottom="0" percent="0" rank="0" text="" dxfId="2">
      <formula>"Bajo"</formula>
    </cfRule>
  </conditionalFormatting>
  <dataValidations count="1">
    <dataValidation allowBlank="false" error="Usa un número entero de 1 a 3." errorStyle="stop" errorTitle="Valor inválido" operator="between" showDropDown="false" showErrorMessage="true" showInputMessage="false" sqref="D5:E2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40"/>
    <col collapsed="false" customWidth="true" hidden="false" outlineLevel="0" max="6" min="4" style="1" width="18"/>
  </cols>
  <sheetData>
    <row r="1" customFormat="false" ht="18" hidden="false" customHeight="true" outlineLevel="0" collapsed="false">
      <c r="A1" s="2" t="s">
        <v>232</v>
      </c>
    </row>
    <row r="2" customFormat="false" ht="14.25" hidden="false" customHeight="true" outlineLevel="0" collapsed="false">
      <c r="A2" s="3" t="s">
        <v>233</v>
      </c>
    </row>
    <row r="4" customFormat="false" ht="28.5" hidden="false" customHeight="true" outlineLevel="0" collapsed="false">
      <c r="A4" s="4" t="s">
        <v>234</v>
      </c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</row>
    <row r="5" customFormat="false" ht="41.25" hidden="false" customHeight="true" outlineLevel="0" collapsed="false">
      <c r="A5" s="6" t="s">
        <v>240</v>
      </c>
      <c r="B5" s="6" t="s">
        <v>241</v>
      </c>
      <c r="C5" s="6" t="s">
        <v>242</v>
      </c>
      <c r="D5" s="6" t="s">
        <v>243</v>
      </c>
      <c r="E5" s="6" t="s">
        <v>244</v>
      </c>
      <c r="F5" s="6" t="s">
        <v>245</v>
      </c>
    </row>
    <row r="6" customFormat="false" ht="28.5" hidden="false" customHeight="true" outlineLevel="0" collapsed="false">
      <c r="A6" s="6" t="s">
        <v>246</v>
      </c>
      <c r="B6" s="6" t="s">
        <v>247</v>
      </c>
      <c r="C6" s="6" t="s">
        <v>248</v>
      </c>
      <c r="D6" s="6" t="s">
        <v>244</v>
      </c>
      <c r="E6" s="6" t="s">
        <v>249</v>
      </c>
      <c r="F6" s="6" t="s">
        <v>250</v>
      </c>
    </row>
    <row r="7" customFormat="false" ht="28.5" hidden="false" customHeight="true" outlineLevel="0" collapsed="false">
      <c r="A7" s="6" t="s">
        <v>251</v>
      </c>
      <c r="B7" s="6" t="s">
        <v>252</v>
      </c>
      <c r="C7" s="6" t="s">
        <v>253</v>
      </c>
      <c r="D7" s="6" t="s">
        <v>244</v>
      </c>
      <c r="E7" s="6" t="s">
        <v>254</v>
      </c>
      <c r="F7" s="6" t="s">
        <v>255</v>
      </c>
    </row>
    <row r="8" customFormat="false" ht="28.5" hidden="false" customHeight="true" outlineLevel="0" collapsed="false">
      <c r="A8" s="6" t="s">
        <v>256</v>
      </c>
      <c r="B8" s="6" t="s">
        <v>257</v>
      </c>
      <c r="C8" s="6" t="s">
        <v>258</v>
      </c>
      <c r="D8" s="6" t="s">
        <v>259</v>
      </c>
      <c r="E8" s="6" t="s">
        <v>260</v>
      </c>
      <c r="F8" s="6" t="s">
        <v>255</v>
      </c>
    </row>
    <row r="9" customFormat="false" ht="14.25" hidden="false" customHeight="true" outlineLevel="0" collapsed="false">
      <c r="A9" s="6"/>
      <c r="B9" s="6"/>
      <c r="C9" s="6"/>
      <c r="D9" s="6"/>
      <c r="E9" s="6"/>
      <c r="F9" s="6"/>
    </row>
    <row r="10" customFormat="false" ht="14.25" hidden="false" customHeight="true" outlineLevel="0" collapsed="false">
      <c r="A10" s="6"/>
      <c r="B10" s="6"/>
      <c r="C10" s="6"/>
      <c r="D10" s="6"/>
      <c r="E10" s="6"/>
      <c r="F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36"/>
    <col collapsed="false" customWidth="true" hidden="false" outlineLevel="0" max="7" min="5" style="1" width="18"/>
    <col collapsed="false" customWidth="true" hidden="false" outlineLevel="0" max="8" min="8" style="1" width="14"/>
  </cols>
  <sheetData>
    <row r="1" customFormat="false" ht="18" hidden="false" customHeight="true" outlineLevel="0" collapsed="false">
      <c r="A1" s="2" t="s">
        <v>261</v>
      </c>
    </row>
    <row r="2" customFormat="false" ht="14.25" hidden="false" customHeight="true" outlineLevel="0" collapsed="false">
      <c r="A2" s="3" t="s">
        <v>262</v>
      </c>
    </row>
    <row r="4" customFormat="false" ht="42.75" hidden="false" customHeight="true" outlineLevel="0" collapsed="false">
      <c r="A4" s="4" t="s">
        <v>263</v>
      </c>
      <c r="B4" s="4" t="s">
        <v>264</v>
      </c>
      <c r="C4" s="4" t="s">
        <v>265</v>
      </c>
      <c r="D4" s="4" t="s">
        <v>266</v>
      </c>
      <c r="E4" s="4" t="s">
        <v>267</v>
      </c>
      <c r="F4" s="4" t="s">
        <v>268</v>
      </c>
      <c r="G4" s="4" t="s">
        <v>269</v>
      </c>
      <c r="H4" s="4" t="s">
        <v>270</v>
      </c>
    </row>
    <row r="5" customFormat="false" ht="41.25" hidden="false" customHeight="true" outlineLevel="0" collapsed="false">
      <c r="A5" s="6" t="s">
        <v>271</v>
      </c>
      <c r="B5" s="6" t="s">
        <v>272</v>
      </c>
      <c r="C5" s="6" t="s">
        <v>273</v>
      </c>
      <c r="D5" s="6" t="s">
        <v>274</v>
      </c>
      <c r="E5" s="6" t="s">
        <v>275</v>
      </c>
      <c r="F5" s="6" t="s">
        <v>276</v>
      </c>
      <c r="G5" s="6" t="s">
        <v>277</v>
      </c>
      <c r="H5" s="6" t="s">
        <v>275</v>
      </c>
    </row>
    <row r="6" customFormat="false" ht="41.25" hidden="false" customHeight="true" outlineLevel="0" collapsed="false">
      <c r="A6" s="6" t="s">
        <v>278</v>
      </c>
      <c r="B6" s="6" t="s">
        <v>272</v>
      </c>
      <c r="C6" s="6" t="s">
        <v>273</v>
      </c>
      <c r="D6" s="6" t="s">
        <v>279</v>
      </c>
      <c r="E6" s="6" t="s">
        <v>275</v>
      </c>
      <c r="F6" s="6" t="s">
        <v>276</v>
      </c>
      <c r="G6" s="6" t="s">
        <v>277</v>
      </c>
      <c r="H6" s="6" t="s">
        <v>275</v>
      </c>
    </row>
    <row r="7" customFormat="false" ht="41.25" hidden="false" customHeight="true" outlineLevel="0" collapsed="false">
      <c r="A7" s="6" t="s">
        <v>280</v>
      </c>
      <c r="B7" s="6" t="s">
        <v>272</v>
      </c>
      <c r="C7" s="6" t="s">
        <v>273</v>
      </c>
      <c r="D7" s="6" t="s">
        <v>281</v>
      </c>
      <c r="E7" s="6" t="s">
        <v>275</v>
      </c>
      <c r="F7" s="6" t="s">
        <v>276</v>
      </c>
      <c r="G7" s="6" t="s">
        <v>277</v>
      </c>
      <c r="H7" s="6" t="s">
        <v>275</v>
      </c>
    </row>
    <row r="8" customFormat="false" ht="41.25" hidden="false" customHeight="true" outlineLevel="0" collapsed="false">
      <c r="A8" s="6" t="s">
        <v>282</v>
      </c>
      <c r="B8" s="6" t="s">
        <v>272</v>
      </c>
      <c r="C8" s="6" t="s">
        <v>273</v>
      </c>
      <c r="D8" s="6" t="s">
        <v>283</v>
      </c>
      <c r="E8" s="6" t="s">
        <v>275</v>
      </c>
      <c r="F8" s="6" t="s">
        <v>276</v>
      </c>
      <c r="G8" s="6" t="s">
        <v>277</v>
      </c>
      <c r="H8" s="6" t="s">
        <v>275</v>
      </c>
    </row>
    <row r="9" customFormat="false" ht="41.25" hidden="false" customHeight="true" outlineLevel="0" collapsed="false">
      <c r="A9" s="6" t="s">
        <v>284</v>
      </c>
      <c r="B9" s="6" t="s">
        <v>272</v>
      </c>
      <c r="C9" s="6" t="s">
        <v>273</v>
      </c>
      <c r="D9" s="6" t="s">
        <v>285</v>
      </c>
      <c r="E9" s="6" t="s">
        <v>275</v>
      </c>
      <c r="F9" s="6" t="s">
        <v>276</v>
      </c>
      <c r="G9" s="6" t="s">
        <v>277</v>
      </c>
      <c r="H9" s="6" t="s">
        <v>275</v>
      </c>
    </row>
    <row r="10" customFormat="false" ht="41.25" hidden="false" customHeight="true" outlineLevel="0" collapsed="false">
      <c r="A10" s="6" t="s">
        <v>286</v>
      </c>
      <c r="B10" s="6" t="s">
        <v>272</v>
      </c>
      <c r="C10" s="6" t="s">
        <v>273</v>
      </c>
      <c r="D10" s="6" t="s">
        <v>287</v>
      </c>
      <c r="E10" s="6" t="s">
        <v>275</v>
      </c>
      <c r="F10" s="6" t="s">
        <v>276</v>
      </c>
      <c r="G10" s="6" t="s">
        <v>277</v>
      </c>
      <c r="H10" s="6" t="s">
        <v>275</v>
      </c>
    </row>
    <row r="11" customFormat="false" ht="41.25" hidden="false" customHeight="true" outlineLevel="0" collapsed="false">
      <c r="A11" s="6" t="s">
        <v>288</v>
      </c>
      <c r="B11" s="6" t="s">
        <v>289</v>
      </c>
      <c r="C11" s="6" t="s">
        <v>273</v>
      </c>
      <c r="D11" s="6" t="s">
        <v>290</v>
      </c>
      <c r="E11" s="6" t="s">
        <v>291</v>
      </c>
      <c r="F11" s="6" t="s">
        <v>276</v>
      </c>
      <c r="G11" s="6" t="s">
        <v>277</v>
      </c>
      <c r="H11" s="6" t="s">
        <v>292</v>
      </c>
    </row>
    <row r="12" customFormat="false" ht="41.25" hidden="false" customHeight="true" outlineLevel="0" collapsed="false">
      <c r="A12" s="6" t="s">
        <v>293</v>
      </c>
      <c r="B12" s="6" t="s">
        <v>294</v>
      </c>
      <c r="C12" s="6" t="s">
        <v>273</v>
      </c>
      <c r="D12" s="6" t="s">
        <v>295</v>
      </c>
      <c r="E12" s="6" t="s">
        <v>296</v>
      </c>
      <c r="F12" s="6" t="s">
        <v>276</v>
      </c>
      <c r="G12" s="6" t="s">
        <v>277</v>
      </c>
      <c r="H12" s="6" t="s">
        <v>292</v>
      </c>
    </row>
    <row r="13" customFormat="false" ht="41.25" hidden="false" customHeight="true" outlineLevel="0" collapsed="false">
      <c r="A13" s="6" t="s">
        <v>297</v>
      </c>
      <c r="B13" s="6" t="s">
        <v>298</v>
      </c>
      <c r="C13" s="6" t="s">
        <v>273</v>
      </c>
      <c r="D13" s="6" t="s">
        <v>299</v>
      </c>
      <c r="E13" s="6" t="s">
        <v>300</v>
      </c>
      <c r="F13" s="6" t="s">
        <v>301</v>
      </c>
      <c r="G13" s="6" t="s">
        <v>277</v>
      </c>
      <c r="H13" s="6" t="s">
        <v>302</v>
      </c>
    </row>
    <row r="14" customFormat="false" ht="41.25" hidden="false" customHeight="true" outlineLevel="0" collapsed="false">
      <c r="A14" s="6" t="s">
        <v>303</v>
      </c>
      <c r="B14" s="6" t="s">
        <v>272</v>
      </c>
      <c r="C14" s="6" t="s">
        <v>273</v>
      </c>
      <c r="D14" s="6" t="s">
        <v>304</v>
      </c>
      <c r="E14" s="6" t="s">
        <v>275</v>
      </c>
      <c r="F14" s="6" t="s">
        <v>276</v>
      </c>
      <c r="G14" s="6" t="s">
        <v>277</v>
      </c>
      <c r="H14" s="6" t="s">
        <v>275</v>
      </c>
    </row>
    <row r="15" customFormat="false" ht="41.25" hidden="false" customHeight="true" outlineLevel="0" collapsed="false">
      <c r="A15" s="6" t="s">
        <v>305</v>
      </c>
      <c r="B15" s="6" t="s">
        <v>272</v>
      </c>
      <c r="C15" s="6" t="s">
        <v>273</v>
      </c>
      <c r="D15" s="6" t="s">
        <v>306</v>
      </c>
      <c r="E15" s="6" t="s">
        <v>275</v>
      </c>
      <c r="F15" s="6" t="s">
        <v>276</v>
      </c>
      <c r="G15" s="6" t="s">
        <v>307</v>
      </c>
      <c r="H15" s="6" t="s">
        <v>275</v>
      </c>
    </row>
    <row r="16" customFormat="false" ht="41.25" hidden="false" customHeight="true" outlineLevel="0" collapsed="false">
      <c r="A16" s="6" t="s">
        <v>308</v>
      </c>
      <c r="B16" s="6" t="s">
        <v>272</v>
      </c>
      <c r="C16" s="6" t="s">
        <v>273</v>
      </c>
      <c r="D16" s="6" t="s">
        <v>309</v>
      </c>
      <c r="E16" s="6" t="s">
        <v>275</v>
      </c>
      <c r="F16" s="6" t="s">
        <v>276</v>
      </c>
      <c r="G16" s="6" t="s">
        <v>277</v>
      </c>
      <c r="H16" s="6" t="s">
        <v>275</v>
      </c>
    </row>
    <row r="17" customFormat="false" ht="41.25" hidden="false" customHeight="true" outlineLevel="0" collapsed="false">
      <c r="A17" s="6" t="s">
        <v>310</v>
      </c>
      <c r="B17" s="6" t="s">
        <v>272</v>
      </c>
      <c r="C17" s="6" t="s">
        <v>273</v>
      </c>
      <c r="D17" s="6" t="s">
        <v>311</v>
      </c>
      <c r="E17" s="6" t="s">
        <v>275</v>
      </c>
      <c r="F17" s="6" t="s">
        <v>276</v>
      </c>
      <c r="G17" s="6" t="s">
        <v>307</v>
      </c>
      <c r="H17" s="6" t="s">
        <v>275</v>
      </c>
    </row>
    <row r="18" customFormat="false" ht="41.25" hidden="false" customHeight="true" outlineLevel="0" collapsed="false">
      <c r="A18" s="6" t="s">
        <v>312</v>
      </c>
      <c r="B18" s="6" t="s">
        <v>272</v>
      </c>
      <c r="C18" s="6" t="s">
        <v>273</v>
      </c>
      <c r="D18" s="6" t="s">
        <v>313</v>
      </c>
      <c r="E18" s="6" t="s">
        <v>275</v>
      </c>
      <c r="F18" s="6" t="s">
        <v>276</v>
      </c>
      <c r="G18" s="6" t="s">
        <v>307</v>
      </c>
      <c r="H18" s="6" t="s">
        <v>275</v>
      </c>
    </row>
    <row r="19" customFormat="false" ht="41.25" hidden="false" customHeight="true" outlineLevel="0" collapsed="false">
      <c r="A19" s="6" t="s">
        <v>314</v>
      </c>
      <c r="B19" s="6" t="s">
        <v>272</v>
      </c>
      <c r="C19" s="6" t="s">
        <v>273</v>
      </c>
      <c r="D19" s="6" t="s">
        <v>315</v>
      </c>
      <c r="E19" s="6" t="s">
        <v>275</v>
      </c>
      <c r="F19" s="6" t="s">
        <v>276</v>
      </c>
      <c r="G19" s="6" t="s">
        <v>307</v>
      </c>
      <c r="H19" s="6" t="s">
        <v>275</v>
      </c>
    </row>
    <row r="20" customFormat="false" ht="41.25" hidden="false" customHeight="true" outlineLevel="0" collapsed="false">
      <c r="A20" s="6" t="s">
        <v>316</v>
      </c>
      <c r="B20" s="6" t="s">
        <v>272</v>
      </c>
      <c r="C20" s="6" t="s">
        <v>273</v>
      </c>
      <c r="D20" s="6" t="s">
        <v>317</v>
      </c>
      <c r="E20" s="6" t="s">
        <v>275</v>
      </c>
      <c r="F20" s="6" t="s">
        <v>276</v>
      </c>
      <c r="G20" s="6" t="s">
        <v>318</v>
      </c>
      <c r="H20" s="6" t="s">
        <v>275</v>
      </c>
    </row>
    <row r="21" customFormat="false" ht="41.25" hidden="false" customHeight="true" outlineLevel="0" collapsed="false">
      <c r="A21" s="6" t="s">
        <v>319</v>
      </c>
      <c r="B21" s="6" t="s">
        <v>272</v>
      </c>
      <c r="C21" s="6" t="s">
        <v>273</v>
      </c>
      <c r="D21" s="6" t="s">
        <v>320</v>
      </c>
      <c r="E21" s="6" t="s">
        <v>275</v>
      </c>
      <c r="F21" s="6" t="s">
        <v>276</v>
      </c>
      <c r="G21" s="6" t="s">
        <v>318</v>
      </c>
      <c r="H21" s="6" t="s">
        <v>275</v>
      </c>
    </row>
    <row r="22" customFormat="false" ht="14.25" hidden="false" customHeight="true" outlineLevel="0" collapsed="false">
      <c r="A22" s="6" t="s">
        <v>321</v>
      </c>
      <c r="B22" s="6" t="s">
        <v>322</v>
      </c>
      <c r="C22" s="6" t="s">
        <v>323</v>
      </c>
      <c r="D22" s="6" t="s">
        <v>324</v>
      </c>
      <c r="E22" s="6" t="s">
        <v>275</v>
      </c>
      <c r="F22" s="6" t="s">
        <v>325</v>
      </c>
      <c r="G22" s="6" t="s">
        <v>307</v>
      </c>
      <c r="H22" s="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2026-10-02T10:46:23Z</dcterms:created>
  <dc:creator>openpyxl</dc:creator>
  <dc:description/>
  <dc:language>en-US</dc:language>
  <cp:lastModifiedBy>Joel Porcel</cp:lastModifiedBy>
  <dcterms:modified xsi:type="dcterms:W3CDTF">2026-10-30T05:59:00Z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